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PLP明细" sheetId="25" r:id="rId1"/>
    <sheet name="四三数据累计" sheetId="2" r:id="rId2"/>
  </sheets>
  <externalReferences>
    <externalReference r:id="rId5"/>
    <externalReference r:id="rId6"/>
  </externalReferences>
  <definedNames>
    <definedName name="_xlnm._FilterDatabase" localSheetId="1" hidden="1">四三数据累计!$A$1:$DQ$138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<sst xmlns="http://schemas.openxmlformats.org/spreadsheetml/2006/main" count="7900" uniqueCount="460">
  <si>
    <t>统计周期</t>
  </si>
  <si>
    <t>广告活动</t>
  </si>
  <si>
    <t>SKU</t>
  </si>
  <si>
    <t>ID</t>
  </si>
  <si>
    <t>店铺</t>
  </si>
  <si>
    <t>PLP开始日期</t>
  </si>
  <si>
    <t>实际上架日期</t>
  </si>
  <si>
    <t>首次出单日期</t>
  </si>
  <si>
    <t>4月分析人</t>
  </si>
  <si>
    <t>品类</t>
  </si>
  <si>
    <t>产品拓展</t>
  </si>
  <si>
    <t>广告曝光量</t>
  </si>
  <si>
    <t>广告点击量</t>
  </si>
  <si>
    <t>广告售出数</t>
  </si>
  <si>
    <t>广告花费</t>
  </si>
  <si>
    <t>广告销售额</t>
  </si>
  <si>
    <t>总销售额</t>
  </si>
  <si>
    <t>ROAS</t>
  </si>
  <si>
    <t>CVR</t>
  </si>
  <si>
    <t>CTR</t>
  </si>
  <si>
    <t>CPC</t>
  </si>
  <si>
    <t>CPA</t>
  </si>
  <si>
    <t>ACOS</t>
  </si>
  <si>
    <t>ACOAS</t>
  </si>
  <si>
    <t>4.9-4.15</t>
  </si>
  <si>
    <t>总数据</t>
  </si>
  <si>
    <t>广告链接数量：</t>
  </si>
  <si>
    <t>总数据：</t>
  </si>
  <si>
    <t>LYAP-X1929~张潇~smart</t>
  </si>
  <si>
    <t>LYAP-X1929</t>
  </si>
  <si>
    <t>177997475019</t>
  </si>
  <si>
    <t>gogreenbike</t>
  </si>
  <si>
    <t>张潇</t>
  </si>
  <si>
    <t>机盖及附件</t>
  </si>
  <si>
    <t>原开品</t>
  </si>
  <si>
    <t>LYAP-X1992系列~张潇~smart~via</t>
  </si>
  <si>
    <t>LYAP-X1993</t>
  </si>
  <si>
    <t>227214980980</t>
  </si>
  <si>
    <t>viautome</t>
  </si>
  <si>
    <t>饰条</t>
  </si>
  <si>
    <t>LYAM-X2575-2~张潇~smart~bap</t>
  </si>
  <si>
    <t>LYAM-X2575-2</t>
  </si>
  <si>
    <t>117032563600</t>
  </si>
  <si>
    <t>best-autoparts(授权即将过期)</t>
  </si>
  <si>
    <t>车门系统</t>
  </si>
  <si>
    <t>拓展品</t>
  </si>
  <si>
    <t>LYAP-X1992</t>
  </si>
  <si>
    <t>227214967031</t>
  </si>
  <si>
    <t>LYAP-X2527~胡煜星~smart</t>
  </si>
  <si>
    <t>LYAP-X2527</t>
  </si>
  <si>
    <t>227241180103</t>
  </si>
  <si>
    <t>胡煜星</t>
  </si>
  <si>
    <t>其他</t>
  </si>
  <si>
    <t>LYAP-838~张潇~smart~bike</t>
  </si>
  <si>
    <t>LYAP-838</t>
  </si>
  <si>
    <t>177997411142</t>
  </si>
  <si>
    <t>MD-001~俞东旭</t>
  </si>
  <si>
    <t>MD-001-RR</t>
  </si>
  <si>
    <t>188171609056</t>
  </si>
  <si>
    <t>俞东旭</t>
  </si>
  <si>
    <t>LYAM-X2570-1~章鹏~smart~flash</t>
  </si>
  <si>
    <t>LYAM-X2570-1</t>
  </si>
  <si>
    <t>117053097094</t>
  </si>
  <si>
    <t>flashemotor</t>
  </si>
  <si>
    <t>章鹏</t>
  </si>
  <si>
    <t>LYAP-X2148-1系列~王偲涵1</t>
  </si>
  <si>
    <t>LYAP-X2148-1R</t>
  </si>
  <si>
    <t>188144166107</t>
  </si>
  <si>
    <t>王偲涵</t>
  </si>
  <si>
    <t>LYAP-X2289~张潇~smart</t>
  </si>
  <si>
    <t>LYAP-X2289</t>
  </si>
  <si>
    <t>177947769950</t>
  </si>
  <si>
    <t>LYAP-X2527~胡煜星~flash</t>
  </si>
  <si>
    <t>117072634866</t>
  </si>
  <si>
    <t>LYAP-X2308~胡煜星</t>
  </si>
  <si>
    <t>LYAP-X2308</t>
  </si>
  <si>
    <t>188126164114</t>
  </si>
  <si>
    <t>LYAM-X2569-1~章鹏~smart~xauto</t>
  </si>
  <si>
    <t>LYAM-X2569-1</t>
  </si>
  <si>
    <t>287151502535</t>
  </si>
  <si>
    <t>x-autoparts1</t>
  </si>
  <si>
    <t>LYAM-X2569-1~章鹏~smart~via</t>
  </si>
  <si>
    <t>227221709911</t>
  </si>
  <si>
    <t>LYAP-X1934~张潇~smart~flash</t>
  </si>
  <si>
    <t>LYAP-X1934</t>
  </si>
  <si>
    <t>117085059550</t>
  </si>
  <si>
    <t>LYAP-X1992~张潇~smart~super</t>
  </si>
  <si>
    <t>336471552121</t>
  </si>
  <si>
    <t>superiorparts11</t>
  </si>
  <si>
    <t>LYAM-X2753-1~胡煜星</t>
  </si>
  <si>
    <t>LYAM-X2753-1</t>
  </si>
  <si>
    <t>117032570263</t>
  </si>
  <si>
    <t>车身外扩件</t>
  </si>
  <si>
    <t>LYAP-X1879~朱培源</t>
  </si>
  <si>
    <t>LYAP-X1879</t>
  </si>
  <si>
    <t>177965595242</t>
  </si>
  <si>
    <t>朱培源</t>
  </si>
  <si>
    <t>挡泥板</t>
  </si>
  <si>
    <t>LYAP-X2135~俞东旭~smart</t>
  </si>
  <si>
    <t>LYAP-X2135</t>
  </si>
  <si>
    <t>117043458011</t>
  </si>
  <si>
    <t>LYAP-X1920系列~王偲涵</t>
  </si>
  <si>
    <t>LYAP-X1920-C</t>
  </si>
  <si>
    <t>117042072978</t>
  </si>
  <si>
    <t>MD-001-FR</t>
  </si>
  <si>
    <t>188171589571</t>
  </si>
  <si>
    <t>LYAM-X2862~张潇</t>
  </si>
  <si>
    <t>LYAM-X2862</t>
  </si>
  <si>
    <t>177951390007</t>
  </si>
  <si>
    <t>LYAP-X2545-F系列~朱培源</t>
  </si>
  <si>
    <t>LYAP-X2545-FL</t>
  </si>
  <si>
    <t>227228792444</t>
  </si>
  <si>
    <t>LYAP-X2216~章鹏~smart~xauto</t>
  </si>
  <si>
    <t>LYAP-X2216</t>
  </si>
  <si>
    <t>287173607865</t>
  </si>
  <si>
    <t>MD-001-FL</t>
  </si>
  <si>
    <t>188167194511</t>
  </si>
  <si>
    <t>LYAP-X1872~张潇~smart~flash</t>
  </si>
  <si>
    <t>LYAP-X1872</t>
  </si>
  <si>
    <t>117105229897</t>
  </si>
  <si>
    <t>未出单</t>
  </si>
  <si>
    <t>LYAP-X1676~胡煜星~super</t>
  </si>
  <si>
    <t>LYAP-X1676</t>
  </si>
  <si>
    <t>336486052117</t>
  </si>
  <si>
    <t>LYAP-X1920-BK</t>
  </si>
  <si>
    <t>117042068584</t>
  </si>
  <si>
    <t>LYAP-X1872~张潇</t>
  </si>
  <si>
    <t>188197007336</t>
  </si>
  <si>
    <t>MD-002-RR~俞东旭</t>
  </si>
  <si>
    <t>MD-002-RR</t>
  </si>
  <si>
    <t>117085067234</t>
  </si>
  <si>
    <t>MD-001-RL</t>
  </si>
  <si>
    <t>177967542795</t>
  </si>
  <si>
    <t>LYAM-X2570-1~章鹏~smart~via</t>
  </si>
  <si>
    <t>227221720047</t>
  </si>
  <si>
    <t>LYAP-X2190系列~张潇~smart~flash</t>
  </si>
  <si>
    <t>LYAP-X2190-R</t>
  </si>
  <si>
    <t>117081148250</t>
  </si>
  <si>
    <t>LYAP-X2190系列~张潇~smart~bike</t>
  </si>
  <si>
    <t>LYAP-X2190-L</t>
  </si>
  <si>
    <t>188139762062</t>
  </si>
  <si>
    <t>LYAP-X2148-1~王偲涵smart</t>
  </si>
  <si>
    <t>LYAP-X2148-1L</t>
  </si>
  <si>
    <t>117083102708</t>
  </si>
  <si>
    <t>LYAP-X2148-1</t>
  </si>
  <si>
    <t>117070939739</t>
  </si>
  <si>
    <t>LYAP-X1676~胡煜星~bike</t>
  </si>
  <si>
    <t>188167162085</t>
  </si>
  <si>
    <t>LYAM-X2254-L~张潇~smart~xauto</t>
  </si>
  <si>
    <t>LYAM-X2254-L</t>
  </si>
  <si>
    <t>287180832245</t>
  </si>
  <si>
    <t>LYAM-X2254-L~张潇~smart~bike</t>
  </si>
  <si>
    <t>188126272697</t>
  </si>
  <si>
    <t>LYAP-X1920-W</t>
  </si>
  <si>
    <t>117042077894</t>
  </si>
  <si>
    <t>117081144249</t>
  </si>
  <si>
    <t>177944141581</t>
  </si>
  <si>
    <t>336471547458</t>
  </si>
  <si>
    <t>LYAM-X2570-1~章鹏~smart~xauto</t>
  </si>
  <si>
    <t>287151507245</t>
  </si>
  <si>
    <t>117083115196</t>
  </si>
  <si>
    <t>LYAP-X2545-FR</t>
  </si>
  <si>
    <t>227228800260</t>
  </si>
  <si>
    <t>LYAP-X2545-F</t>
  </si>
  <si>
    <t>227228697747</t>
  </si>
  <si>
    <t>LYAM-X2569-1~章鹏~smart~flash</t>
  </si>
  <si>
    <t>117053094251</t>
  </si>
  <si>
    <t>LYAM-X2254-L~张潇~smart~via</t>
  </si>
  <si>
    <t>227241168840</t>
  </si>
  <si>
    <t>177947728049</t>
  </si>
  <si>
    <t>LYAP-X2085~俞东旭~smart</t>
  </si>
  <si>
    <t>LYAP-X2085</t>
  </si>
  <si>
    <t>117109082220</t>
  </si>
  <si>
    <t>LYAP-X2077~俞东旭~smart</t>
  </si>
  <si>
    <t>LYAP-X2077</t>
  </si>
  <si>
    <t>117109033287</t>
  </si>
  <si>
    <t>LYAP-X1800-1系列~胡煜星</t>
  </si>
  <si>
    <t>LYAP-X1800-1</t>
  </si>
  <si>
    <t>227241156524</t>
  </si>
  <si>
    <t>LYAP-X1800S-1L</t>
  </si>
  <si>
    <t>227242599752</t>
  </si>
  <si>
    <t>LYAP-X1800S-1R</t>
  </si>
  <si>
    <t>227242600308</t>
  </si>
  <si>
    <t>LYAP-X2528~胡煜星</t>
  </si>
  <si>
    <t>LYAP-X2528</t>
  </si>
  <si>
    <t>117072676887</t>
  </si>
  <si>
    <t>4.16-4.22</t>
  </si>
  <si>
    <t>LYAP-X1665-1~俞东旭</t>
  </si>
  <si>
    <t>LYAP-X1665-1L</t>
  </si>
  <si>
    <t>117115651168</t>
  </si>
  <si>
    <t>LYAP-X1665-1R</t>
  </si>
  <si>
    <t>117115653271</t>
  </si>
  <si>
    <t>LYAM-X2575-2~张潇</t>
  </si>
  <si>
    <t>188303032431</t>
  </si>
  <si>
    <t>LYAP-X1665-1</t>
  </si>
  <si>
    <t>117105226831</t>
  </si>
  <si>
    <t>LYAM-X2804~张潇</t>
  </si>
  <si>
    <t>LYAM-X2804</t>
  </si>
  <si>
    <t>178071423591</t>
  </si>
  <si>
    <t>未分类</t>
  </si>
  <si>
    <t>LYAM-X2428-C~俞东旭</t>
  </si>
  <si>
    <t>LYAM-X2428-C</t>
  </si>
  <si>
    <t>188307728772</t>
  </si>
  <si>
    <t>LYAP-X1963~朱培源</t>
  </si>
  <si>
    <t>LYAP-X1963</t>
  </si>
  <si>
    <t>188306721459</t>
  </si>
  <si>
    <t>LYAP-X2307~胡煜星</t>
  </si>
  <si>
    <t>LYAP-X2307</t>
  </si>
  <si>
    <t>178072239367</t>
  </si>
  <si>
    <t>LYAP-X2314~胡煜星</t>
  </si>
  <si>
    <t>LYAP-X2314</t>
  </si>
  <si>
    <t>188307740950</t>
  </si>
  <si>
    <t>LYAP-X2319~胡煜星</t>
  </si>
  <si>
    <t>LYAP-X2319</t>
  </si>
  <si>
    <t>188307744865</t>
  </si>
  <si>
    <t>4.23-4.29</t>
  </si>
  <si>
    <t>牌照板支架</t>
  </si>
  <si>
    <t>best-autoparts</t>
  </si>
  <si>
    <t>LYAP-X1665-2R~俞东旭</t>
  </si>
  <si>
    <t>LYAP-X1665-2R</t>
  </si>
  <si>
    <t>117115641168</t>
  </si>
  <si>
    <t>LYAP-X1787-BK~俞东旭</t>
  </si>
  <si>
    <t>LYAP-X1787-BK</t>
  </si>
  <si>
    <t>117032554270</t>
  </si>
  <si>
    <t>LYAP-X2530~胡煜星</t>
  </si>
  <si>
    <t>LYAP-X2530</t>
  </si>
  <si>
    <t>117093803059</t>
  </si>
  <si>
    <t>LYAP-X2210-C~张潇</t>
  </si>
  <si>
    <t>LYAP-X2210-C</t>
  </si>
  <si>
    <t>178087818624</t>
  </si>
  <si>
    <t>LYAP-X2318~张潇</t>
  </si>
  <si>
    <t>LYAP-X2318</t>
  </si>
  <si>
    <t>188328132045</t>
  </si>
  <si>
    <t>LYAP-X1909~朱培源</t>
  </si>
  <si>
    <t>LYAP-X1909</t>
  </si>
  <si>
    <t>188328090540</t>
  </si>
  <si>
    <t>LYAP-X2317系列~胡煜星</t>
  </si>
  <si>
    <t>LYAP-X2317</t>
  </si>
  <si>
    <t>177997447464</t>
  </si>
  <si>
    <t>LYAP-X2317-L</t>
  </si>
  <si>
    <t>188328121506</t>
  </si>
  <si>
    <t>LYAP-X2317-R</t>
  </si>
  <si>
    <t>188328124623</t>
  </si>
  <si>
    <t>LYAP-X2385~张潇</t>
  </si>
  <si>
    <t>LYAP-X2385</t>
  </si>
  <si>
    <t>178088538756</t>
  </si>
  <si>
    <t>LYAP-X2324</t>
  </si>
  <si>
    <t>188307751556</t>
  </si>
  <si>
    <t>LYAM-X2895~章鹏</t>
  </si>
  <si>
    <t>LYAM-X2895</t>
  </si>
  <si>
    <t>178087821129</t>
  </si>
  <si>
    <t>LYAP-X2310系列~胡煜星</t>
  </si>
  <si>
    <t>LYAP-X2310</t>
  </si>
  <si>
    <t>177997435750</t>
  </si>
  <si>
    <t>LYAM-X2439～王偲涵</t>
  </si>
  <si>
    <t>LYAM-X2439</t>
  </si>
  <si>
    <t>188328077040</t>
  </si>
  <si>
    <t>LYAM-X2443～王偲涵</t>
  </si>
  <si>
    <t>LYAM-X2443</t>
  </si>
  <si>
    <t>178088440364</t>
  </si>
  <si>
    <t>LYAM-X2450-SL～王偲涵</t>
  </si>
  <si>
    <t>LYAM-X2450-SL</t>
  </si>
  <si>
    <t>178088445830</t>
  </si>
  <si>
    <t>4.30-5.6</t>
  </si>
  <si>
    <t>LYAP-X1360-1L~章鹏~smart~bike</t>
  </si>
  <si>
    <t>LYAP-X1360-1L</t>
  </si>
  <si>
    <t>188330683250</t>
  </si>
  <si>
    <t>LYAP-X2412～王偲涵</t>
  </si>
  <si>
    <t>LYAP-X2412</t>
  </si>
  <si>
    <t>188330701630</t>
  </si>
  <si>
    <t>LYAM-X2452-SL～王偲涵smart</t>
  </si>
  <si>
    <t>LYAM-X2452-SL</t>
  </si>
  <si>
    <t>188330738159</t>
  </si>
  <si>
    <t>LYAP-X2316~张潇</t>
  </si>
  <si>
    <t>LYAP-X2316</t>
  </si>
  <si>
    <t>178090479710</t>
  </si>
  <si>
    <t>LYAM-X2460～王偲涵smart</t>
  </si>
  <si>
    <t>LYAM-X2460</t>
  </si>
  <si>
    <t>178090479690</t>
  </si>
  <si>
    <t>LYAP-X2310-L</t>
  </si>
  <si>
    <t>188330766999</t>
  </si>
  <si>
    <t>LYAP-X2210系列~张潇</t>
  </si>
  <si>
    <t>LYAP-X2210-C~张潇~smart</t>
  </si>
  <si>
    <t>117169587615</t>
  </si>
  <si>
    <t>LYAP-X2310-R</t>
  </si>
  <si>
    <t>178090483656</t>
  </si>
  <si>
    <t>LYAP-X1966~朱培源</t>
  </si>
  <si>
    <t>LYAP-X1966</t>
  </si>
  <si>
    <t>188330773414</t>
  </si>
  <si>
    <t>销售编号</t>
  </si>
  <si>
    <t>3.5-3.11销量</t>
  </si>
  <si>
    <t>3.12-3.18销量</t>
  </si>
  <si>
    <t>3.19-3.25销量</t>
  </si>
  <si>
    <t>3.26-4.1销量</t>
  </si>
  <si>
    <t>4.2-4.8销量</t>
  </si>
  <si>
    <t>4.9-4.15销量</t>
  </si>
  <si>
    <t>4.16-4.22销量</t>
  </si>
  <si>
    <t>4.23-4.29销量</t>
  </si>
  <si>
    <t>4.30-5.6销量</t>
  </si>
  <si>
    <t>环比</t>
  </si>
  <si>
    <t>3.5-3.11销售额</t>
  </si>
  <si>
    <t>3.12-3.18销售额</t>
  </si>
  <si>
    <t>3.19-3.25销售额</t>
  </si>
  <si>
    <t>3.26-4.1销售额</t>
  </si>
  <si>
    <t>4.2-4.8销售额</t>
  </si>
  <si>
    <t>4.9-4.15销售额</t>
  </si>
  <si>
    <t>4.16-4.22销售额</t>
  </si>
  <si>
    <t>4.23-4.29销售额</t>
  </si>
  <si>
    <t>4.30-5.6销售额</t>
  </si>
  <si>
    <t>3.11对手销量</t>
  </si>
  <si>
    <t>3.18对手销量</t>
  </si>
  <si>
    <t>3.25对手销量</t>
  </si>
  <si>
    <t>4.1对手销量</t>
  </si>
  <si>
    <t>4.8对手销量</t>
  </si>
  <si>
    <t>4.15对手销量</t>
  </si>
  <si>
    <t>4.22对手销量</t>
  </si>
  <si>
    <t>4.29对手销量</t>
  </si>
  <si>
    <t>5.6对手销量</t>
  </si>
  <si>
    <t>3.11市占比</t>
  </si>
  <si>
    <t>3.18市占比</t>
  </si>
  <si>
    <t>3.25市占比</t>
  </si>
  <si>
    <t>4.1市占比</t>
  </si>
  <si>
    <t>4.8市占比</t>
  </si>
  <si>
    <t>4.15市占比</t>
  </si>
  <si>
    <t>4.22市占比</t>
  </si>
  <si>
    <t>4.29市占比</t>
  </si>
  <si>
    <t>5.6市占比</t>
  </si>
  <si>
    <t>3.11追踪间隔</t>
  </si>
  <si>
    <t>3.18追踪间隔</t>
  </si>
  <si>
    <t>3.25追踪间隔</t>
  </si>
  <si>
    <t>4.1追踪间隔</t>
  </si>
  <si>
    <t>4.8追踪间隔</t>
  </si>
  <si>
    <t>4.15追踪间隔</t>
  </si>
  <si>
    <t>4.22追踪间隔</t>
  </si>
  <si>
    <t>4.29追踪间隔</t>
  </si>
  <si>
    <t>5.6追踪间隔</t>
  </si>
  <si>
    <t>3.11 8日出单情况</t>
  </si>
  <si>
    <t>3.18 8日出单情况</t>
  </si>
  <si>
    <t>3.25 8日出单情况</t>
  </si>
  <si>
    <t>4.1 8日出单情况</t>
  </si>
  <si>
    <t>4.8 8日出单情况</t>
  </si>
  <si>
    <t>4.15 8日出单情况</t>
  </si>
  <si>
    <t>4.22 8日出单情况</t>
  </si>
  <si>
    <t>4.29 8日出单情况</t>
  </si>
  <si>
    <t>5.6 8日出单情况</t>
  </si>
  <si>
    <t>3.11 7日频次标签</t>
  </si>
  <si>
    <t>3.18 7日频次标签</t>
  </si>
  <si>
    <t>3.25 7日频次标签</t>
  </si>
  <si>
    <t>4.1 7日频次标签</t>
  </si>
  <si>
    <t>4.8 7日频次标签</t>
  </si>
  <si>
    <t>4.15 7日频次标签</t>
  </si>
  <si>
    <t>4.22 7日频次标签</t>
  </si>
  <si>
    <t>4.29 7日频次标签</t>
  </si>
  <si>
    <t>5.6 7日频次标签</t>
  </si>
  <si>
    <t>3.11 7日新品频次标签</t>
  </si>
  <si>
    <t>3.18 7日新品频次标签</t>
  </si>
  <si>
    <t>3.25 7日新品频次标签</t>
  </si>
  <si>
    <t>4.1 7日新品频次标签</t>
  </si>
  <si>
    <t>4.8 7日新品频次标签</t>
  </si>
  <si>
    <t>4.15 7日新品频次标签</t>
  </si>
  <si>
    <t>4.22 7日新品频次标签</t>
  </si>
  <si>
    <t>4.29 7日新品频次标签</t>
  </si>
  <si>
    <t>5.6 7日新品频次标签</t>
  </si>
  <si>
    <t>3.4市场状态</t>
  </si>
  <si>
    <t>3.11市场状态</t>
  </si>
  <si>
    <t>3.18市场状态</t>
  </si>
  <si>
    <t>3.25市场状态</t>
  </si>
  <si>
    <t>4.1市场状态</t>
  </si>
  <si>
    <t>4.8市场状态</t>
  </si>
  <si>
    <t>4.15市场状态</t>
  </si>
  <si>
    <t>4.22市场状态</t>
  </si>
  <si>
    <t>4.29市场状态</t>
  </si>
  <si>
    <t>5.6市场状态</t>
  </si>
  <si>
    <t>3.5-3.11操作判断</t>
  </si>
  <si>
    <t>3.12-3.18操作判断</t>
  </si>
  <si>
    <t>3.19-3.25操作判断</t>
  </si>
  <si>
    <t>3.26-4.1操作判断</t>
  </si>
  <si>
    <t>4.2-4.8操作判断</t>
  </si>
  <si>
    <t>4.9-4.15操作判断</t>
  </si>
  <si>
    <t>4.16-4.22操作判断</t>
  </si>
  <si>
    <t>4.23-4.29操作判断</t>
  </si>
  <si>
    <t>4.30-5.6操作判断</t>
  </si>
  <si>
    <t>4.9-4.15开启PLP</t>
  </si>
  <si>
    <t>4.16-4.22开启PLP</t>
  </si>
  <si>
    <t>4.23-4.29开启PLP</t>
  </si>
  <si>
    <t>4.30-5.6开启PLP</t>
  </si>
  <si>
    <t>4.16-4.22PLG最高费率</t>
  </si>
  <si>
    <t>4.23-4.29PLG最高费率</t>
  </si>
  <si>
    <t>4.30-5.6PLG最高费率</t>
  </si>
  <si>
    <t>LYAP-X1658</t>
  </si>
  <si>
    <t>市场无出单</t>
  </si>
  <si>
    <t>Y</t>
  </si>
  <si>
    <t>正常</t>
  </si>
  <si>
    <t>异常</t>
  </si>
  <si>
    <t>无市场</t>
  </si>
  <si>
    <t>广告-PLP</t>
  </si>
  <si>
    <t>无异常</t>
  </si>
  <si>
    <t>未分析</t>
  </si>
  <si>
    <t>N</t>
  </si>
  <si>
    <t>LYAP-X1658L</t>
  </si>
  <si>
    <t>无调整</t>
  </si>
  <si>
    <t>LYAP-X1658R</t>
  </si>
  <si>
    <t>竞争无优势</t>
  </si>
  <si>
    <t>广告-PLG</t>
  </si>
  <si>
    <t>链接优化</t>
  </si>
  <si>
    <t>LYAP-X1877</t>
  </si>
  <si>
    <t>站外出单</t>
  </si>
  <si>
    <t>站内无价格优势</t>
  </si>
  <si>
    <t>LYAM-X2980-BK</t>
  </si>
  <si>
    <t>8日新品优化</t>
  </si>
  <si>
    <t>LYAM-X2980-GR</t>
  </si>
  <si>
    <t>不分析</t>
  </si>
  <si>
    <t>未上架</t>
  </si>
  <si>
    <t>LYAM-X2896</t>
  </si>
  <si>
    <t>降价测试-市场无对手</t>
  </si>
  <si>
    <t>LYAP-X2170</t>
  </si>
  <si>
    <t>LYAP-X1642-GR</t>
  </si>
  <si>
    <t>LYAP-X1911-BK</t>
  </si>
  <si>
    <t>LYAP-X1911-C</t>
  </si>
  <si>
    <t>LYAP-X1927</t>
  </si>
  <si>
    <t>LYAP-X2418</t>
  </si>
  <si>
    <t>MD-002-FL</t>
  </si>
  <si>
    <t>MD-002-FR</t>
  </si>
  <si>
    <t>MD-002-RL</t>
  </si>
  <si>
    <t>LYAP-X1651-1L</t>
  </si>
  <si>
    <t>LYAP-X1651-1R</t>
  </si>
  <si>
    <t>LYAP-X2417</t>
  </si>
  <si>
    <t>LYAP-X1788-GR</t>
  </si>
  <si>
    <t>LYAP-X1808</t>
  </si>
  <si>
    <t>LYAP-X2429</t>
  </si>
  <si>
    <t>LYAP-X2523</t>
  </si>
  <si>
    <t>LYAP-X2144-1</t>
  </si>
  <si>
    <t>LYAP-X2144-1L</t>
  </si>
  <si>
    <t>降价测试-市场有低价对手出单</t>
  </si>
  <si>
    <t>LYAP-X2144-1R</t>
  </si>
  <si>
    <t>LYAP-X1878</t>
  </si>
  <si>
    <t>LYAP-X2130-1</t>
  </si>
  <si>
    <t>LYAP-X2130-2</t>
  </si>
  <si>
    <t>LYAP-X2309</t>
  </si>
  <si>
    <t>LYAP-X2313</t>
  </si>
  <si>
    <t>LYAP-X1665-2L</t>
  </si>
  <si>
    <t>LYAP-X1788-BN</t>
  </si>
  <si>
    <t>LYAP-X2215</t>
  </si>
  <si>
    <t>LYAM-X2428-BK</t>
  </si>
  <si>
    <t>LYAP-X2504</t>
  </si>
  <si>
    <t>LYAM-X2818</t>
  </si>
  <si>
    <t>LYAP-X2320</t>
  </si>
  <si>
    <t>LYAP-X2042-FL</t>
  </si>
  <si>
    <t>LYAP-X2042-FR</t>
  </si>
  <si>
    <t>LYAP-X2428-3</t>
  </si>
  <si>
    <t>LYAP-X2428-2</t>
  </si>
  <si>
    <t>LYAP-X2428-1</t>
  </si>
  <si>
    <t>LYAM-X3058</t>
  </si>
  <si>
    <t>LYAP-X1957</t>
  </si>
  <si>
    <t>LYAP-X2025</t>
  </si>
  <si>
    <t>LYAP-X2210-BK</t>
  </si>
  <si>
    <t>LYAP-X2470</t>
  </si>
  <si>
    <t>LYAP-X2471</t>
  </si>
  <si>
    <t>LYAP-X2472</t>
  </si>
  <si>
    <t>LYAP-X2473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</si>
</sst>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[Red]\$\-#,##0.00"/>
    <numFmt numFmtId="177" formatCode="yyyy/m/d;@"/>
    <numFmt numFmtId="178" formatCode="0_ ;[Red]\-0\ "/>
    <numFmt numFmtId="179" formatCode="\$#,##0.00;\-\$#,##0.00"/>
    <numFmt numFmtId="180" formatCode="0.00_);[Red]\(0.00\)"/>
    <numFmt numFmtId="181" formatCode="&quot;$&quot;#,##0.00"/>
  </numFmts>
  <fonts count="25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b/>
      <sz val="11"/>
      <color theme="1"/>
      <name val="Microsoft YaHei"/>
      <charset val="134"/>
    </font>
    <font>
      <sz val="10"/>
      <color rgb="FF000000"/>
      <name val="Microsoft YaHei"/>
      <charset val="134"/>
    </font>
    <font>
      <sz val="10"/>
      <color theme="1"/>
      <name val="Microsoft YaHei"/>
      <charset val="134"/>
    </font>
    <font>
      <b/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84CCD3"/>
        <bgColor indexed="64"/>
      </patternFill>
    </fill>
    <fill>
      <patternFill patternType="solid">
        <fgColor rgb="FFE5E3BE"/>
        <bgColor indexed="64"/>
      </patternFill>
    </fill>
    <fill>
      <patternFill patternType="solid">
        <fgColor rgb="FFAD81D5"/>
        <bgColor indexed="64"/>
      </patternFill>
    </fill>
    <fill>
      <patternFill patternType="solid">
        <fgColor rgb="FFF618DF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1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21" applyNumberFormat="0" applyAlignment="0" applyProtection="0">
      <alignment vertical="center"/>
    </xf>
    <xf numFmtId="0" fontId="15" fillId="17" borderId="22" applyNumberFormat="0" applyAlignment="0" applyProtection="0">
      <alignment vertical="center"/>
    </xf>
    <xf numFmtId="0" fontId="16" fillId="17" borderId="21" applyNumberFormat="0" applyAlignment="0" applyProtection="0">
      <alignment vertical="center"/>
    </xf>
    <xf numFmtId="0" fontId="17" fillId="18" borderId="23" applyNumberFormat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176" fontId="0" fillId="0" borderId="3" xfId="0" applyNumberFormat="1" applyBorder="1" applyAlignment="1">
      <alignment horizontal="right" vertical="center"/>
    </xf>
    <xf numFmtId="176" fontId="0" fillId="0" borderId="0" xfId="0" applyNumberFormat="1" applyBorder="1" applyAlignment="1">
      <alignment horizontal="right" vertical="center"/>
    </xf>
    <xf numFmtId="24" fontId="0" fillId="0" borderId="0" xfId="0" applyNumberFormat="1" applyBorder="1" applyAlignment="1">
      <alignment horizontal="right" vertical="center"/>
    </xf>
    <xf numFmtId="0" fontId="0" fillId="0" borderId="3" xfId="0" applyBorder="1">
      <alignment vertical="center"/>
    </xf>
    <xf numFmtId="10" fontId="0" fillId="0" borderId="3" xfId="0" applyNumberFormat="1" applyBorder="1" applyAlignment="1">
      <alignment horizontal="right" vertical="center"/>
    </xf>
    <xf numFmtId="10" fontId="0" fillId="0" borderId="0" xfId="0" applyNumberFormat="1" applyBorder="1" applyAlignment="1">
      <alignment horizontal="right" vertical="center"/>
    </xf>
    <xf numFmtId="0" fontId="0" fillId="0" borderId="3" xfId="0" applyNumberFormat="1" applyBorder="1">
      <alignment vertical="center"/>
    </xf>
    <xf numFmtId="0" fontId="0" fillId="0" borderId="0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4" xfId="0" applyBorder="1">
      <alignment vertical="center"/>
    </xf>
    <xf numFmtId="10" fontId="0" fillId="0" borderId="3" xfId="0" applyNumberFormat="1" applyBorder="1">
      <alignment vertical="center"/>
    </xf>
    <xf numFmtId="10" fontId="0" fillId="0" borderId="0" xfId="0" applyNumberForma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24" fontId="1" fillId="4" borderId="0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10" fontId="1" fillId="6" borderId="3" xfId="0" applyNumberFormat="1" applyFont="1" applyFill="1" applyBorder="1" applyAlignment="1">
      <alignment horizontal="center" vertical="center" wrapText="1"/>
    </xf>
    <xf numFmtId="10" fontId="1" fillId="6" borderId="0" xfId="0" applyNumberFormat="1" applyFont="1" applyFill="1" applyBorder="1" applyAlignment="1">
      <alignment horizontal="center" vertical="center" wrapText="1"/>
    </xf>
    <xf numFmtId="0" fontId="1" fillId="7" borderId="3" xfId="0" applyNumberFormat="1" applyFont="1" applyFill="1" applyBorder="1" applyAlignment="1">
      <alignment horizontal="center" vertical="center" wrapText="1"/>
    </xf>
    <xf numFmtId="0" fontId="1" fillId="7" borderId="0" xfId="0" applyNumberFormat="1" applyFont="1" applyFill="1" applyBorder="1" applyAlignment="1">
      <alignment horizontal="center" vertical="center" wrapText="1"/>
    </xf>
    <xf numFmtId="0" fontId="1" fillId="7" borderId="4" xfId="0" applyNumberFormat="1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0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0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0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0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0" fontId="2" fillId="14" borderId="3" xfId="0" applyNumberFormat="1" applyFont="1" applyFill="1" applyBorder="1" applyAlignment="1">
      <alignment horizontal="center" vertical="center" wrapText="1"/>
    </xf>
    <xf numFmtId="10" fontId="2" fillId="14" borderId="0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7" fontId="3" fillId="0" borderId="7" xfId="0" applyNumberFormat="1" applyFont="1" applyBorder="1" applyAlignment="1">
      <alignment horizontal="center" vertical="center" wrapText="1"/>
    </xf>
    <xf numFmtId="177" fontId="3" fillId="0" borderId="5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178" fontId="4" fillId="0" borderId="0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0" xfId="0" applyNumberFormat="1" applyFont="1" applyBorder="1" applyAlignment="1">
      <alignment horizontal="center" vertical="center" wrapText="1"/>
    </xf>
    <xf numFmtId="24" fontId="4" fillId="0" borderId="0" xfId="0" applyNumberFormat="1" applyFont="1" applyBorder="1" applyAlignment="1">
      <alignment horizontal="center" vertical="center" wrapText="1"/>
    </xf>
    <xf numFmtId="26" fontId="4" fillId="0" borderId="0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 wrapText="1"/>
    </xf>
    <xf numFmtId="10" fontId="4" fillId="0" borderId="0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0" fillId="0" borderId="4" xfId="0" applyNumberForma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0" fontId="0" fillId="0" borderId="4" xfId="0" applyNumberFormat="1" applyBorder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center" vertical="center" wrapText="1"/>
    </xf>
    <xf numFmtId="0" fontId="0" fillId="0" borderId="2" xfId="0" applyNumberFormat="1" applyBorder="1">
      <alignment vertical="center"/>
    </xf>
    <xf numFmtId="177" fontId="0" fillId="0" borderId="0" xfId="0" applyNumberFormat="1">
      <alignment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77" fontId="1" fillId="0" borderId="9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26" fontId="1" fillId="0" borderId="9" xfId="0" applyNumberFormat="1" applyFont="1" applyBorder="1" applyAlignment="1">
      <alignment horizontal="center" vertical="center" wrapText="1"/>
    </xf>
    <xf numFmtId="179" fontId="1" fillId="0" borderId="10" xfId="0" applyNumberFormat="1" applyFont="1" applyBorder="1" applyAlignment="1">
      <alignment horizontal="center" vertical="center" wrapText="1"/>
    </xf>
    <xf numFmtId="179" fontId="1" fillId="0" borderId="12" xfId="0" applyNumberFormat="1" applyFont="1" applyBorder="1" applyAlignment="1">
      <alignment horizontal="center" vertical="center" wrapText="1"/>
    </xf>
    <xf numFmtId="10" fontId="1" fillId="0" borderId="9" xfId="0" applyNumberFormat="1" applyFont="1" applyBorder="1" applyAlignment="1">
      <alignment horizontal="center" vertical="center" wrapText="1"/>
    </xf>
    <xf numFmtId="180" fontId="1" fillId="0" borderId="9" xfId="0" applyNumberFormat="1" applyFont="1" applyBorder="1" applyAlignment="1">
      <alignment horizontal="center" vertical="center" wrapText="1"/>
    </xf>
    <xf numFmtId="10" fontId="1" fillId="0" borderId="10" xfId="0" applyNumberFormat="1" applyFont="1" applyBorder="1" applyAlignment="1">
      <alignment horizontal="center" vertical="center" wrapText="1"/>
    </xf>
    <xf numFmtId="18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4" fillId="8" borderId="0" xfId="0" applyNumberFormat="1" applyFont="1" applyFill="1" applyAlignment="1">
      <alignment horizontal="center" vertical="center" wrapText="1"/>
    </xf>
    <xf numFmtId="181" fontId="4" fillId="8" borderId="0" xfId="0" applyNumberFormat="1" applyFont="1" applyFill="1" applyAlignment="1">
      <alignment horizontal="center" vertical="center" wrapText="1"/>
    </xf>
    <xf numFmtId="180" fontId="4" fillId="8" borderId="0" xfId="0" applyNumberFormat="1" applyFont="1" applyFill="1" applyAlignment="1">
      <alignment horizontal="center" vertical="center" wrapText="1"/>
    </xf>
    <xf numFmtId="10" fontId="4" fillId="8" borderId="0" xfId="0" applyNumberFormat="1" applyFont="1" applyFill="1" applyAlignment="1">
      <alignment horizontal="center" vertical="center" wrapText="1"/>
    </xf>
    <xf numFmtId="10" fontId="4" fillId="8" borderId="1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181" fontId="4" fillId="0" borderId="0" xfId="0" applyNumberFormat="1" applyFont="1" applyFill="1" applyAlignment="1">
      <alignment horizontal="center" vertical="center" wrapText="1"/>
    </xf>
    <xf numFmtId="180" fontId="4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4" fillId="8" borderId="17" xfId="0" applyNumberFormat="1" applyFont="1" applyFill="1" applyBorder="1" applyAlignment="1">
      <alignment horizontal="center" vertical="center" wrapText="1"/>
    </xf>
    <xf numFmtId="181" fontId="4" fillId="8" borderId="17" xfId="0" applyNumberFormat="1" applyFont="1" applyFill="1" applyBorder="1" applyAlignment="1">
      <alignment horizontal="center" vertical="center" wrapText="1"/>
    </xf>
    <xf numFmtId="180" fontId="4" fillId="8" borderId="17" xfId="0" applyNumberFormat="1" applyFont="1" applyFill="1" applyBorder="1" applyAlignment="1">
      <alignment horizontal="center" vertical="center" wrapText="1"/>
    </xf>
    <xf numFmtId="10" fontId="4" fillId="8" borderId="17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618DF"/>
      <color rgb="00FF0000"/>
      <color rgb="00AD81D5"/>
      <color rgb="0084CCD3"/>
      <color rgb="00E5E3BE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WPSDrive\1657638535\WPS&#20225;&#19994;&#20113;&#30424;\&#24120;&#24030;&#24066;&#20940;&#36234;&#20449;&#24687;&#25216;&#26415;&#26381;&#21153;&#26377;&#38480;&#20844;&#21496;\&#22242;&#38431;&#25991;&#26723;\eBay&#36816;&#33829;&#19977;&#37096;\&#26032;&#21697;\&#26032;&#21697;&#32047;&#35745;&#25968;&#25454;\&#26032;&#21697;&#26816;&#26597;&#35760;&#244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WPSDrive\1657638535\WPS&#20225;&#19994;&#20113;&#30424;\&#24120;&#24030;&#24066;&#20940;&#36234;&#20449;&#24687;&#25216;&#26415;&#26381;&#21153;&#26377;&#38480;&#20844;&#21496;\&#22242;&#38431;&#25991;&#26723;\eBay&#36816;&#33829;&#19977;&#37096;\&#26032;&#21697;\&#26032;&#21697;&#32047;&#35745;&#25968;&#25454;\&#26032;&#21697;&#24191;&#21578;&#25968;&#254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四三数据累计"/>
      <sheetName val="四三透视表"/>
      <sheetName val="月数据累计"/>
      <sheetName val="月度透视表"/>
      <sheetName val="周销售数据"/>
      <sheetName val="月销售数据"/>
      <sheetName val="分配表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编码</v>
          </cell>
        </row>
        <row r="1">
          <cell r="C1" t="str">
            <v>26.4月</v>
          </cell>
        </row>
        <row r="1">
          <cell r="J1" t="str">
            <v>销售编号-公式</v>
          </cell>
        </row>
        <row r="1">
          <cell r="M1" t="str">
            <v>首出单日期</v>
          </cell>
        </row>
        <row r="2">
          <cell r="A2">
            <v>243</v>
          </cell>
        </row>
        <row r="2">
          <cell r="C2" t="str">
            <v>俞东旭</v>
          </cell>
        </row>
        <row r="2">
          <cell r="J2">
            <v>11547</v>
          </cell>
        </row>
        <row r="2">
          <cell r="M2">
            <v>46075</v>
          </cell>
        </row>
        <row r="3">
          <cell r="A3">
            <v>545</v>
          </cell>
        </row>
        <row r="3">
          <cell r="C3" t="str">
            <v>张潇</v>
          </cell>
        </row>
        <row r="3">
          <cell r="J3">
            <v>11650</v>
          </cell>
        </row>
        <row r="3">
          <cell r="M3">
            <v>46029</v>
          </cell>
        </row>
        <row r="4">
          <cell r="A4">
            <v>278</v>
          </cell>
        </row>
        <row r="4">
          <cell r="C4" t="str">
            <v>俞东旭</v>
          </cell>
        </row>
        <row r="4">
          <cell r="J4">
            <v>11674</v>
          </cell>
        </row>
        <row r="4">
          <cell r="M4">
            <v>46028</v>
          </cell>
        </row>
        <row r="5">
          <cell r="A5">
            <v>290</v>
          </cell>
        </row>
        <row r="5">
          <cell r="C5" t="str">
            <v>俞东旭</v>
          </cell>
        </row>
        <row r="5">
          <cell r="J5">
            <v>11668</v>
          </cell>
        </row>
        <row r="5">
          <cell r="M5">
            <v>46030</v>
          </cell>
        </row>
        <row r="6">
          <cell r="A6">
            <v>3023</v>
          </cell>
        </row>
        <row r="6">
          <cell r="C6" t="str">
            <v>朱培源</v>
          </cell>
        </row>
        <row r="6">
          <cell r="J6">
            <v>11681</v>
          </cell>
        </row>
        <row r="6">
          <cell r="M6">
            <v>46031</v>
          </cell>
        </row>
        <row r="7">
          <cell r="A7">
            <v>347</v>
          </cell>
        </row>
        <row r="7">
          <cell r="C7" t="str">
            <v>王偲涵</v>
          </cell>
        </row>
        <row r="7">
          <cell r="J7">
            <v>11742</v>
          </cell>
        </row>
        <row r="7">
          <cell r="M7">
            <v>46033</v>
          </cell>
        </row>
        <row r="8">
          <cell r="A8">
            <v>569</v>
          </cell>
        </row>
        <row r="8">
          <cell r="C8" t="str">
            <v>朱培源</v>
          </cell>
        </row>
        <row r="8">
          <cell r="J8">
            <v>11603</v>
          </cell>
        </row>
        <row r="8">
          <cell r="M8">
            <v>46041</v>
          </cell>
        </row>
        <row r="9">
          <cell r="A9">
            <v>585</v>
          </cell>
        </row>
        <row r="9">
          <cell r="C9" t="str">
            <v>朱培源</v>
          </cell>
        </row>
        <row r="9">
          <cell r="J9">
            <v>11704</v>
          </cell>
        </row>
        <row r="9">
          <cell r="M9">
            <v>46070</v>
          </cell>
        </row>
        <row r="10">
          <cell r="A10">
            <v>3262</v>
          </cell>
        </row>
        <row r="10">
          <cell r="C10" t="str">
            <v>朱培源</v>
          </cell>
        </row>
        <row r="10">
          <cell r="J10">
            <v>11699</v>
          </cell>
        </row>
        <row r="10">
          <cell r="M10">
            <v>46044</v>
          </cell>
        </row>
        <row r="11">
          <cell r="A11">
            <v>586</v>
          </cell>
        </row>
        <row r="11">
          <cell r="C11" t="str">
            <v>朱培源</v>
          </cell>
        </row>
        <row r="11">
          <cell r="J11">
            <v>11982</v>
          </cell>
        </row>
        <row r="11">
          <cell r="M11">
            <v>46036</v>
          </cell>
        </row>
        <row r="12">
          <cell r="A12">
            <v>1161</v>
          </cell>
        </row>
        <row r="12">
          <cell r="C12" t="str">
            <v>张潇</v>
          </cell>
        </row>
        <row r="12">
          <cell r="J12">
            <v>11911</v>
          </cell>
        </row>
        <row r="12">
          <cell r="M12">
            <v>46043</v>
          </cell>
        </row>
        <row r="13">
          <cell r="A13">
            <v>4323</v>
          </cell>
        </row>
        <row r="13">
          <cell r="C13" t="str">
            <v>朱培源</v>
          </cell>
        </row>
        <row r="13">
          <cell r="J13">
            <v>11848</v>
          </cell>
        </row>
        <row r="13">
          <cell r="M13">
            <v>46054</v>
          </cell>
        </row>
        <row r="14">
          <cell r="A14">
            <v>425</v>
          </cell>
        </row>
        <row r="14">
          <cell r="C14" t="str">
            <v>朱培源</v>
          </cell>
        </row>
        <row r="14">
          <cell r="J14">
            <v>11875</v>
          </cell>
        </row>
        <row r="14">
          <cell r="M14">
            <v>46041</v>
          </cell>
        </row>
        <row r="15">
          <cell r="A15">
            <v>419</v>
          </cell>
        </row>
        <row r="15">
          <cell r="C15" t="str">
            <v>朱培源</v>
          </cell>
        </row>
        <row r="15">
          <cell r="J15">
            <v>11833</v>
          </cell>
        </row>
        <row r="15">
          <cell r="M15">
            <v>46040</v>
          </cell>
        </row>
        <row r="16">
          <cell r="A16">
            <v>656</v>
          </cell>
        </row>
        <row r="16">
          <cell r="C16" t="str">
            <v>胡煜星</v>
          </cell>
        </row>
        <row r="16">
          <cell r="J16">
            <v>11683</v>
          </cell>
        </row>
        <row r="17">
          <cell r="A17">
            <v>488</v>
          </cell>
        </row>
        <row r="17">
          <cell r="C17" t="str">
            <v>张潇</v>
          </cell>
        </row>
        <row r="17">
          <cell r="J17">
            <v>12303</v>
          </cell>
        </row>
        <row r="17">
          <cell r="M17">
            <v>46046</v>
          </cell>
        </row>
        <row r="18">
          <cell r="A18">
            <v>10089</v>
          </cell>
        </row>
        <row r="18">
          <cell r="C18" t="str">
            <v>朱培源</v>
          </cell>
        </row>
        <row r="18">
          <cell r="J18">
            <v>11733</v>
          </cell>
        </row>
        <row r="18">
          <cell r="M18">
            <v>46066</v>
          </cell>
        </row>
        <row r="19">
          <cell r="A19">
            <v>1406</v>
          </cell>
        </row>
        <row r="19">
          <cell r="C19" t="str">
            <v>朱培源</v>
          </cell>
        </row>
        <row r="19">
          <cell r="J19">
            <v>11830</v>
          </cell>
        </row>
        <row r="19">
          <cell r="M19">
            <v>46054</v>
          </cell>
        </row>
        <row r="20">
          <cell r="A20">
            <v>5573</v>
          </cell>
        </row>
        <row r="20">
          <cell r="C20" t="str">
            <v>张潇</v>
          </cell>
        </row>
        <row r="20">
          <cell r="J20">
            <v>11751</v>
          </cell>
        </row>
        <row r="20">
          <cell r="M20">
            <v>46043</v>
          </cell>
        </row>
        <row r="21">
          <cell r="A21">
            <v>4261</v>
          </cell>
        </row>
        <row r="21">
          <cell r="C21" t="str">
            <v>章鹏</v>
          </cell>
        </row>
        <row r="21">
          <cell r="J21">
            <v>11736</v>
          </cell>
        </row>
        <row r="21">
          <cell r="M21">
            <v>46065</v>
          </cell>
        </row>
        <row r="22">
          <cell r="A22">
            <v>2462</v>
          </cell>
        </row>
        <row r="22">
          <cell r="C22" t="str">
            <v>朱培源</v>
          </cell>
        </row>
        <row r="22">
          <cell r="J22">
            <v>11904</v>
          </cell>
        </row>
        <row r="22">
          <cell r="M22">
            <v>46050</v>
          </cell>
        </row>
        <row r="23">
          <cell r="A23">
            <v>3238</v>
          </cell>
        </row>
        <row r="23">
          <cell r="C23" t="str">
            <v>朱培源</v>
          </cell>
        </row>
        <row r="23">
          <cell r="J23">
            <v>11781</v>
          </cell>
        </row>
        <row r="23">
          <cell r="M23">
            <v>46062</v>
          </cell>
        </row>
        <row r="24">
          <cell r="A24">
            <v>483</v>
          </cell>
        </row>
        <row r="24">
          <cell r="C24" t="str">
            <v>朱培源</v>
          </cell>
        </row>
        <row r="24">
          <cell r="J24">
            <v>11793</v>
          </cell>
        </row>
        <row r="24">
          <cell r="M24">
            <v>46062</v>
          </cell>
        </row>
        <row r="25">
          <cell r="A25">
            <v>395</v>
          </cell>
        </row>
        <row r="25">
          <cell r="C25" t="str">
            <v>章鹏</v>
          </cell>
        </row>
        <row r="25">
          <cell r="J25">
            <v>11745</v>
          </cell>
        </row>
        <row r="25">
          <cell r="M25">
            <v>46047</v>
          </cell>
        </row>
        <row r="26">
          <cell r="A26">
            <v>453</v>
          </cell>
        </row>
        <row r="26">
          <cell r="C26" t="str">
            <v>朱培源</v>
          </cell>
        </row>
        <row r="26">
          <cell r="J26">
            <v>4310</v>
          </cell>
        </row>
        <row r="26">
          <cell r="M26">
            <v>46047</v>
          </cell>
        </row>
        <row r="27">
          <cell r="A27">
            <v>423</v>
          </cell>
        </row>
        <row r="27">
          <cell r="C27" t="str">
            <v>朱培源</v>
          </cell>
        </row>
        <row r="27">
          <cell r="J27">
            <v>11777</v>
          </cell>
        </row>
        <row r="27">
          <cell r="M27">
            <v>46065</v>
          </cell>
        </row>
        <row r="28">
          <cell r="A28">
            <v>1140</v>
          </cell>
        </row>
        <row r="28">
          <cell r="C28" t="str">
            <v>王偲涵</v>
          </cell>
        </row>
        <row r="28">
          <cell r="J28">
            <v>11792</v>
          </cell>
        </row>
        <row r="28">
          <cell r="M28">
            <v>46051</v>
          </cell>
        </row>
        <row r="29">
          <cell r="A29">
            <v>1144</v>
          </cell>
        </row>
        <row r="29">
          <cell r="C29" t="str">
            <v>王偲涵</v>
          </cell>
        </row>
        <row r="29">
          <cell r="J29">
            <v>11780</v>
          </cell>
        </row>
        <row r="29">
          <cell r="M29">
            <v>46044</v>
          </cell>
        </row>
        <row r="30">
          <cell r="A30">
            <v>1145</v>
          </cell>
        </row>
        <row r="30">
          <cell r="C30" t="str">
            <v>转二部</v>
          </cell>
        </row>
        <row r="30">
          <cell r="J30">
            <v>11682</v>
          </cell>
        </row>
        <row r="30">
          <cell r="M30">
            <v>46052</v>
          </cell>
        </row>
        <row r="31">
          <cell r="A31">
            <v>972</v>
          </cell>
        </row>
        <row r="31">
          <cell r="C31" t="str">
            <v>张潇</v>
          </cell>
        </row>
        <row r="31">
          <cell r="J31">
            <v>11778</v>
          </cell>
        </row>
        <row r="31">
          <cell r="M31">
            <v>46095</v>
          </cell>
        </row>
        <row r="32">
          <cell r="A32">
            <v>487</v>
          </cell>
        </row>
        <row r="32">
          <cell r="C32" t="str">
            <v>朱培源</v>
          </cell>
        </row>
        <row r="32">
          <cell r="J32">
            <v>11756</v>
          </cell>
        </row>
        <row r="32">
          <cell r="M32">
            <v>46059</v>
          </cell>
        </row>
        <row r="33">
          <cell r="A33">
            <v>8532</v>
          </cell>
        </row>
        <row r="33">
          <cell r="C33" t="str">
            <v>张潇</v>
          </cell>
        </row>
        <row r="33">
          <cell r="J33">
            <v>11757</v>
          </cell>
        </row>
        <row r="33">
          <cell r="M33">
            <v>46045</v>
          </cell>
        </row>
        <row r="34">
          <cell r="A34">
            <v>4692</v>
          </cell>
        </row>
        <row r="34">
          <cell r="C34" t="str">
            <v>朱培源</v>
          </cell>
        </row>
        <row r="34">
          <cell r="J34">
            <v>11758</v>
          </cell>
        </row>
        <row r="34">
          <cell r="M34">
            <v>46044</v>
          </cell>
        </row>
        <row r="35">
          <cell r="A35">
            <v>1125</v>
          </cell>
        </row>
        <row r="35">
          <cell r="C35" t="str">
            <v>章鹏</v>
          </cell>
        </row>
        <row r="35">
          <cell r="J35">
            <v>11808</v>
          </cell>
        </row>
        <row r="35">
          <cell r="M35">
            <v>46069</v>
          </cell>
        </row>
        <row r="36">
          <cell r="A36">
            <v>1030</v>
          </cell>
        </row>
        <row r="36">
          <cell r="C36" t="str">
            <v>张潇</v>
          </cell>
        </row>
        <row r="36">
          <cell r="J36">
            <v>11809</v>
          </cell>
        </row>
        <row r="36">
          <cell r="M36">
            <v>46043</v>
          </cell>
        </row>
        <row r="37">
          <cell r="A37">
            <v>1545</v>
          </cell>
        </row>
        <row r="37">
          <cell r="C37" t="str">
            <v>转二部</v>
          </cell>
        </row>
        <row r="37">
          <cell r="J37">
            <v>11823</v>
          </cell>
        </row>
        <row r="37">
          <cell r="M37">
            <v>46045</v>
          </cell>
        </row>
        <row r="38">
          <cell r="A38">
            <v>1587</v>
          </cell>
        </row>
        <row r="38">
          <cell r="C38" t="str">
            <v>王偲涵</v>
          </cell>
        </row>
        <row r="38">
          <cell r="J38">
            <v>11814</v>
          </cell>
        </row>
        <row r="38">
          <cell r="M38">
            <v>46066</v>
          </cell>
        </row>
        <row r="39">
          <cell r="A39">
            <v>3511</v>
          </cell>
        </row>
        <row r="39">
          <cell r="C39" t="str">
            <v>朱培源</v>
          </cell>
        </row>
        <row r="39">
          <cell r="J39">
            <v>11815</v>
          </cell>
        </row>
        <row r="39">
          <cell r="M39">
            <v>46083</v>
          </cell>
        </row>
        <row r="40">
          <cell r="A40">
            <v>1690</v>
          </cell>
        </row>
        <row r="40">
          <cell r="C40" t="str">
            <v>王偲涵</v>
          </cell>
        </row>
        <row r="40">
          <cell r="J40">
            <v>11824</v>
          </cell>
        </row>
        <row r="40">
          <cell r="M40">
            <v>46046</v>
          </cell>
        </row>
        <row r="41">
          <cell r="A41">
            <v>1694</v>
          </cell>
        </row>
        <row r="41">
          <cell r="C41" t="str">
            <v>俞东旭</v>
          </cell>
        </row>
        <row r="41">
          <cell r="J41">
            <v>11855</v>
          </cell>
        </row>
        <row r="41">
          <cell r="M41">
            <v>46072</v>
          </cell>
        </row>
        <row r="42">
          <cell r="A42">
            <v>1696</v>
          </cell>
        </row>
        <row r="42">
          <cell r="C42" t="str">
            <v>王偲涵</v>
          </cell>
        </row>
        <row r="42">
          <cell r="J42">
            <v>11856</v>
          </cell>
        </row>
        <row r="42">
          <cell r="M42">
            <v>46076</v>
          </cell>
        </row>
        <row r="43">
          <cell r="A43">
            <v>1705</v>
          </cell>
        </row>
        <row r="43">
          <cell r="C43" t="str">
            <v>王偲涵</v>
          </cell>
        </row>
        <row r="43">
          <cell r="J43">
            <v>11857</v>
          </cell>
        </row>
        <row r="43">
          <cell r="M43">
            <v>46087</v>
          </cell>
        </row>
        <row r="44">
          <cell r="A44">
            <v>1706</v>
          </cell>
        </row>
        <row r="44">
          <cell r="C44" t="str">
            <v>转二部</v>
          </cell>
        </row>
        <row r="44">
          <cell r="J44">
            <v>11933</v>
          </cell>
        </row>
        <row r="44">
          <cell r="M44">
            <v>46085</v>
          </cell>
        </row>
        <row r="45">
          <cell r="A45">
            <v>1715</v>
          </cell>
        </row>
        <row r="45">
          <cell r="C45" t="str">
            <v>王偲涵</v>
          </cell>
        </row>
        <row r="45">
          <cell r="J45">
            <v>11884</v>
          </cell>
        </row>
        <row r="46">
          <cell r="A46">
            <v>1249</v>
          </cell>
        </row>
        <row r="46">
          <cell r="C46" t="str">
            <v>章鹏</v>
          </cell>
        </row>
        <row r="46">
          <cell r="J46">
            <v>11885</v>
          </cell>
        </row>
        <row r="47">
          <cell r="A47">
            <v>1748</v>
          </cell>
        </row>
        <row r="47">
          <cell r="C47" t="str">
            <v>王偲涵</v>
          </cell>
        </row>
        <row r="47">
          <cell r="J47">
            <v>11839</v>
          </cell>
        </row>
        <row r="47">
          <cell r="M47">
            <v>46056</v>
          </cell>
        </row>
        <row r="48">
          <cell r="A48">
            <v>1045</v>
          </cell>
        </row>
        <row r="48">
          <cell r="C48" t="str">
            <v>朱培源</v>
          </cell>
        </row>
        <row r="48">
          <cell r="J48">
            <v>11840</v>
          </cell>
        </row>
        <row r="48">
          <cell r="M48">
            <v>46058</v>
          </cell>
        </row>
        <row r="49">
          <cell r="A49">
            <v>108</v>
          </cell>
        </row>
        <row r="49">
          <cell r="C49" t="str">
            <v>胡煜星</v>
          </cell>
        </row>
        <row r="49">
          <cell r="J49">
            <v>11794</v>
          </cell>
        </row>
        <row r="49">
          <cell r="M49">
            <v>46052</v>
          </cell>
        </row>
        <row r="50">
          <cell r="A50">
            <v>109</v>
          </cell>
        </row>
        <row r="50">
          <cell r="C50" t="str">
            <v>胡煜星</v>
          </cell>
        </row>
        <row r="50">
          <cell r="J50">
            <v>11866</v>
          </cell>
        </row>
        <row r="50">
          <cell r="M50">
            <v>46070</v>
          </cell>
        </row>
        <row r="51">
          <cell r="A51">
            <v>2623</v>
          </cell>
        </row>
        <row r="51">
          <cell r="C51" t="str">
            <v>胡煜星</v>
          </cell>
        </row>
        <row r="51">
          <cell r="J51">
            <v>11867</v>
          </cell>
        </row>
        <row r="51">
          <cell r="M51">
            <v>46068</v>
          </cell>
        </row>
        <row r="52">
          <cell r="A52">
            <v>1026</v>
          </cell>
        </row>
        <row r="52">
          <cell r="C52" t="str">
            <v>王偲涵</v>
          </cell>
        </row>
        <row r="52">
          <cell r="J52">
            <v>11826</v>
          </cell>
        </row>
        <row r="52">
          <cell r="M52">
            <v>46065</v>
          </cell>
        </row>
        <row r="53">
          <cell r="A53">
            <v>2485</v>
          </cell>
        </row>
        <row r="53">
          <cell r="C53" t="str">
            <v>俞东旭</v>
          </cell>
        </row>
        <row r="53">
          <cell r="J53">
            <v>11876</v>
          </cell>
        </row>
        <row r="53">
          <cell r="M53">
            <v>46087</v>
          </cell>
        </row>
        <row r="54">
          <cell r="A54">
            <v>1025</v>
          </cell>
        </row>
        <row r="54">
          <cell r="C54" t="str">
            <v>王偲涵</v>
          </cell>
        </row>
        <row r="54">
          <cell r="J54">
            <v>11936</v>
          </cell>
        </row>
        <row r="54">
          <cell r="M54">
            <v>46056</v>
          </cell>
        </row>
        <row r="55">
          <cell r="A55">
            <v>1024</v>
          </cell>
        </row>
        <row r="55">
          <cell r="C55" t="str">
            <v>王偲涵</v>
          </cell>
        </row>
        <row r="55">
          <cell r="J55">
            <v>11937</v>
          </cell>
        </row>
        <row r="55">
          <cell r="M55">
            <v>46064</v>
          </cell>
        </row>
        <row r="56">
          <cell r="A56">
            <v>1027</v>
          </cell>
        </row>
        <row r="56">
          <cell r="C56" t="str">
            <v>章鹏</v>
          </cell>
        </row>
        <row r="56">
          <cell r="J56">
            <v>11874</v>
          </cell>
        </row>
        <row r="56">
          <cell r="M56">
            <v>46054</v>
          </cell>
        </row>
        <row r="57">
          <cell r="A57">
            <v>547</v>
          </cell>
        </row>
        <row r="57">
          <cell r="C57" t="str">
            <v>胡煜星</v>
          </cell>
        </row>
        <row r="57">
          <cell r="J57">
            <v>11925</v>
          </cell>
        </row>
        <row r="57">
          <cell r="M57">
            <v>46052</v>
          </cell>
        </row>
        <row r="58">
          <cell r="A58">
            <v>1126</v>
          </cell>
        </row>
        <row r="58">
          <cell r="C58" t="str">
            <v>朱培源</v>
          </cell>
        </row>
        <row r="58">
          <cell r="J58">
            <v>11852</v>
          </cell>
        </row>
        <row r="58">
          <cell r="M58">
            <v>46064</v>
          </cell>
        </row>
        <row r="59">
          <cell r="A59">
            <v>8089</v>
          </cell>
        </row>
        <row r="59">
          <cell r="C59" t="str">
            <v>章鹏</v>
          </cell>
        </row>
        <row r="59">
          <cell r="J59">
            <v>12359</v>
          </cell>
        </row>
        <row r="59">
          <cell r="M59">
            <v>46062</v>
          </cell>
        </row>
        <row r="60">
          <cell r="A60">
            <v>1134</v>
          </cell>
        </row>
        <row r="60">
          <cell r="C60" t="str">
            <v>张潇</v>
          </cell>
        </row>
        <row r="60">
          <cell r="J60">
            <v>11921</v>
          </cell>
        </row>
        <row r="60">
          <cell r="M60">
            <v>46057</v>
          </cell>
        </row>
        <row r="61">
          <cell r="A61">
            <v>1044</v>
          </cell>
        </row>
        <row r="61">
          <cell r="C61" t="str">
            <v>俞东旭</v>
          </cell>
        </row>
        <row r="61">
          <cell r="J61">
            <v>11922</v>
          </cell>
        </row>
        <row r="61">
          <cell r="M61">
            <v>46058</v>
          </cell>
        </row>
        <row r="62">
          <cell r="A62">
            <v>1251</v>
          </cell>
        </row>
        <row r="62">
          <cell r="C62" t="str">
            <v>章鹏</v>
          </cell>
        </row>
        <row r="62">
          <cell r="J62">
            <v>11923</v>
          </cell>
        </row>
        <row r="62">
          <cell r="M62">
            <v>46058</v>
          </cell>
        </row>
        <row r="63">
          <cell r="A63">
            <v>1199</v>
          </cell>
        </row>
        <row r="63">
          <cell r="C63" t="str">
            <v>朱培源</v>
          </cell>
        </row>
        <row r="63">
          <cell r="J63">
            <v>11927</v>
          </cell>
        </row>
        <row r="63">
          <cell r="M63">
            <v>46067</v>
          </cell>
        </row>
        <row r="64">
          <cell r="A64">
            <v>1203</v>
          </cell>
        </row>
        <row r="64">
          <cell r="C64" t="str">
            <v>朱培源</v>
          </cell>
        </row>
        <row r="64">
          <cell r="J64">
            <v>11928</v>
          </cell>
        </row>
        <row r="64">
          <cell r="M64">
            <v>46095</v>
          </cell>
        </row>
        <row r="65">
          <cell r="A65">
            <v>1135</v>
          </cell>
        </row>
        <row r="65">
          <cell r="C65" t="str">
            <v>张潇</v>
          </cell>
        </row>
        <row r="65">
          <cell r="J65">
            <v>11926</v>
          </cell>
        </row>
        <row r="65">
          <cell r="M65">
            <v>46063</v>
          </cell>
        </row>
        <row r="66">
          <cell r="A66">
            <v>10090</v>
          </cell>
        </row>
        <row r="66">
          <cell r="C66" t="str">
            <v>朱培源</v>
          </cell>
        </row>
        <row r="66">
          <cell r="J66">
            <v>11998</v>
          </cell>
        </row>
        <row r="66">
          <cell r="M66">
            <v>46068</v>
          </cell>
        </row>
        <row r="67">
          <cell r="A67">
            <v>1178</v>
          </cell>
        </row>
        <row r="67">
          <cell r="C67" t="str">
            <v>胡煜星</v>
          </cell>
        </row>
        <row r="67">
          <cell r="J67">
            <v>11929</v>
          </cell>
        </row>
        <row r="67">
          <cell r="M67">
            <v>46066</v>
          </cell>
        </row>
        <row r="68">
          <cell r="A68">
            <v>1390</v>
          </cell>
        </row>
        <row r="68">
          <cell r="C68" t="str">
            <v>朱培源</v>
          </cell>
        </row>
        <row r="68">
          <cell r="J68">
            <v>12000</v>
          </cell>
        </row>
        <row r="68">
          <cell r="M68">
            <v>46064</v>
          </cell>
        </row>
        <row r="69">
          <cell r="A69">
            <v>1188</v>
          </cell>
        </row>
        <row r="69">
          <cell r="C69" t="str">
            <v>章鹏</v>
          </cell>
        </row>
        <row r="69">
          <cell r="J69">
            <v>12061</v>
          </cell>
        </row>
        <row r="69">
          <cell r="M69">
            <v>46068</v>
          </cell>
        </row>
        <row r="70">
          <cell r="A70">
            <v>1235</v>
          </cell>
        </row>
        <row r="70">
          <cell r="C70" t="str">
            <v>王偲涵</v>
          </cell>
        </row>
        <row r="70">
          <cell r="J70">
            <v>11990</v>
          </cell>
        </row>
        <row r="70">
          <cell r="M70">
            <v>46117</v>
          </cell>
        </row>
        <row r="71">
          <cell r="A71">
            <v>1657</v>
          </cell>
        </row>
        <row r="71">
          <cell r="C71" t="str">
            <v>张潇</v>
          </cell>
        </row>
        <row r="71">
          <cell r="J71">
            <v>11991</v>
          </cell>
        </row>
        <row r="71">
          <cell r="M71">
            <v>46093</v>
          </cell>
        </row>
        <row r="72">
          <cell r="A72">
            <v>1159</v>
          </cell>
        </row>
        <row r="72">
          <cell r="C72" t="str">
            <v>张潇</v>
          </cell>
        </row>
        <row r="72">
          <cell r="J72">
            <v>11981</v>
          </cell>
        </row>
        <row r="72">
          <cell r="M72">
            <v>46071</v>
          </cell>
        </row>
        <row r="73">
          <cell r="A73">
            <v>5987</v>
          </cell>
        </row>
        <row r="73">
          <cell r="C73" t="str">
            <v>俞东旭</v>
          </cell>
        </row>
        <row r="73">
          <cell r="J73">
            <v>11890</v>
          </cell>
        </row>
        <row r="73">
          <cell r="M73">
            <v>46079</v>
          </cell>
        </row>
        <row r="74">
          <cell r="A74">
            <v>1494</v>
          </cell>
        </row>
        <row r="74">
          <cell r="C74" t="str">
            <v>俞东旭</v>
          </cell>
        </row>
        <row r="74">
          <cell r="J74">
            <v>11989</v>
          </cell>
        </row>
        <row r="74">
          <cell r="M74">
            <v>46072</v>
          </cell>
        </row>
        <row r="75">
          <cell r="A75">
            <v>1544</v>
          </cell>
        </row>
        <row r="75">
          <cell r="C75" t="str">
            <v>胡煜星</v>
          </cell>
        </row>
        <row r="75">
          <cell r="J75">
            <v>12088</v>
          </cell>
        </row>
        <row r="75">
          <cell r="M75">
            <v>46068</v>
          </cell>
        </row>
        <row r="76">
          <cell r="A76">
            <v>1117</v>
          </cell>
        </row>
        <row r="76">
          <cell r="C76" t="str">
            <v>王偲涵</v>
          </cell>
        </row>
        <row r="76">
          <cell r="J76">
            <v>12089</v>
          </cell>
        </row>
        <row r="76">
          <cell r="M76">
            <v>46070</v>
          </cell>
        </row>
        <row r="77">
          <cell r="A77">
            <v>2834</v>
          </cell>
        </row>
        <row r="77">
          <cell r="C77" t="str">
            <v>朱培源</v>
          </cell>
        </row>
        <row r="77">
          <cell r="J77">
            <v>12002</v>
          </cell>
        </row>
        <row r="77">
          <cell r="M77">
            <v>46084</v>
          </cell>
        </row>
        <row r="78">
          <cell r="A78">
            <v>3731</v>
          </cell>
        </row>
        <row r="78">
          <cell r="C78" t="str">
            <v>张潇</v>
          </cell>
        </row>
        <row r="78">
          <cell r="J78">
            <v>11938</v>
          </cell>
        </row>
        <row r="78">
          <cell r="M78">
            <v>46114</v>
          </cell>
        </row>
        <row r="79">
          <cell r="A79">
            <v>5064</v>
          </cell>
        </row>
        <row r="79">
          <cell r="C79" t="str">
            <v>俞东旭</v>
          </cell>
        </row>
        <row r="79">
          <cell r="J79">
            <v>12005</v>
          </cell>
        </row>
        <row r="79">
          <cell r="M79">
            <v>46077</v>
          </cell>
        </row>
        <row r="80">
          <cell r="A80">
            <v>4328</v>
          </cell>
        </row>
        <row r="80">
          <cell r="C80" t="str">
            <v>胡煜星</v>
          </cell>
        </row>
        <row r="80">
          <cell r="J80">
            <v>12006</v>
          </cell>
        </row>
        <row r="80">
          <cell r="M80">
            <v>46070</v>
          </cell>
        </row>
        <row r="81">
          <cell r="A81">
            <v>1191</v>
          </cell>
        </row>
        <row r="81">
          <cell r="C81" t="str">
            <v>朱培源</v>
          </cell>
        </row>
        <row r="81">
          <cell r="J81">
            <v>12011</v>
          </cell>
        </row>
        <row r="81">
          <cell r="M81">
            <v>46071</v>
          </cell>
        </row>
        <row r="82">
          <cell r="A82">
            <v>4658</v>
          </cell>
        </row>
        <row r="82">
          <cell r="C82" t="str">
            <v>俞东旭</v>
          </cell>
        </row>
        <row r="82">
          <cell r="J82">
            <v>12021</v>
          </cell>
        </row>
        <row r="82">
          <cell r="M82">
            <v>46069</v>
          </cell>
        </row>
        <row r="83">
          <cell r="A83">
            <v>2851</v>
          </cell>
        </row>
        <row r="83">
          <cell r="C83" t="str">
            <v>朱培源</v>
          </cell>
        </row>
        <row r="83">
          <cell r="J83">
            <v>12023</v>
          </cell>
        </row>
        <row r="83">
          <cell r="M83">
            <v>46113</v>
          </cell>
        </row>
        <row r="84">
          <cell r="A84">
            <v>4311</v>
          </cell>
        </row>
        <row r="84">
          <cell r="C84" t="str">
            <v>胡煜星</v>
          </cell>
        </row>
        <row r="84">
          <cell r="J84">
            <v>12058</v>
          </cell>
        </row>
        <row r="84">
          <cell r="M84">
            <v>46086</v>
          </cell>
        </row>
        <row r="85">
          <cell r="A85">
            <v>1310</v>
          </cell>
        </row>
        <row r="85">
          <cell r="C85" t="str">
            <v>张潇</v>
          </cell>
        </row>
        <row r="85">
          <cell r="J85">
            <v>12059</v>
          </cell>
        </row>
        <row r="85">
          <cell r="M85">
            <v>46073</v>
          </cell>
        </row>
        <row r="86">
          <cell r="A86">
            <v>1031</v>
          </cell>
        </row>
        <row r="86">
          <cell r="C86" t="str">
            <v>朱培源</v>
          </cell>
        </row>
        <row r="86">
          <cell r="J86">
            <v>12060</v>
          </cell>
        </row>
        <row r="86">
          <cell r="M86">
            <v>46090</v>
          </cell>
        </row>
        <row r="87">
          <cell r="A87">
            <v>971</v>
          </cell>
        </row>
        <row r="87">
          <cell r="C87" t="str">
            <v>张潇</v>
          </cell>
        </row>
        <row r="87">
          <cell r="J87">
            <v>12139</v>
          </cell>
        </row>
        <row r="87">
          <cell r="M87">
            <v>46080</v>
          </cell>
        </row>
        <row r="88">
          <cell r="A88">
            <v>5869</v>
          </cell>
        </row>
        <row r="88">
          <cell r="C88" t="str">
            <v>俞东旭</v>
          </cell>
        </row>
        <row r="88">
          <cell r="J88">
            <v>12087</v>
          </cell>
        </row>
        <row r="88">
          <cell r="M88">
            <v>46092</v>
          </cell>
        </row>
        <row r="89">
          <cell r="A89">
            <v>5660</v>
          </cell>
        </row>
        <row r="89">
          <cell r="C89" t="str">
            <v>胡煜星</v>
          </cell>
        </row>
        <row r="89">
          <cell r="J89">
            <v>12143</v>
          </cell>
        </row>
        <row r="89">
          <cell r="M89">
            <v>46109</v>
          </cell>
        </row>
        <row r="90">
          <cell r="A90">
            <v>5567</v>
          </cell>
        </row>
        <row r="90">
          <cell r="C90" t="str">
            <v>俞东旭</v>
          </cell>
        </row>
        <row r="90">
          <cell r="J90">
            <v>12079</v>
          </cell>
        </row>
        <row r="90">
          <cell r="M90">
            <v>46085</v>
          </cell>
        </row>
        <row r="91">
          <cell r="A91">
            <v>1372</v>
          </cell>
        </row>
        <row r="91">
          <cell r="C91" t="str">
            <v>朱培源</v>
          </cell>
        </row>
        <row r="91">
          <cell r="J91">
            <v>12104</v>
          </cell>
        </row>
        <row r="91">
          <cell r="M91">
            <v>46082</v>
          </cell>
        </row>
        <row r="92">
          <cell r="A92">
            <v>5581</v>
          </cell>
        </row>
        <row r="92">
          <cell r="C92" t="str">
            <v>俞东旭</v>
          </cell>
        </row>
        <row r="92">
          <cell r="J92">
            <v>12105</v>
          </cell>
        </row>
        <row r="92">
          <cell r="M92">
            <v>46084</v>
          </cell>
        </row>
        <row r="93">
          <cell r="A93">
            <v>1116</v>
          </cell>
        </row>
        <row r="93">
          <cell r="C93" t="str">
            <v>王偲涵</v>
          </cell>
        </row>
        <row r="93">
          <cell r="J93">
            <v>12106</v>
          </cell>
        </row>
        <row r="93">
          <cell r="M93">
            <v>46096</v>
          </cell>
        </row>
        <row r="94">
          <cell r="A94">
            <v>1118</v>
          </cell>
        </row>
        <row r="94">
          <cell r="C94" t="str">
            <v>王偲涵</v>
          </cell>
        </row>
        <row r="94">
          <cell r="J94">
            <v>12240</v>
          </cell>
        </row>
        <row r="94">
          <cell r="M94">
            <v>46082</v>
          </cell>
        </row>
        <row r="95">
          <cell r="A95">
            <v>7288</v>
          </cell>
        </row>
        <row r="95">
          <cell r="C95" t="str">
            <v>俞东旭</v>
          </cell>
        </row>
        <row r="95">
          <cell r="J95">
            <v>12225</v>
          </cell>
        </row>
        <row r="95">
          <cell r="M95">
            <v>46101</v>
          </cell>
        </row>
        <row r="96">
          <cell r="A96">
            <v>8461</v>
          </cell>
        </row>
        <row r="96">
          <cell r="C96" t="str">
            <v>俞东旭</v>
          </cell>
        </row>
        <row r="96">
          <cell r="J96">
            <v>12073</v>
          </cell>
        </row>
        <row r="96">
          <cell r="M96">
            <v>46093</v>
          </cell>
        </row>
        <row r="97">
          <cell r="A97">
            <v>8462</v>
          </cell>
        </row>
        <row r="97">
          <cell r="C97" t="str">
            <v>俞东旭</v>
          </cell>
        </row>
        <row r="97">
          <cell r="J97">
            <v>12074</v>
          </cell>
        </row>
        <row r="97">
          <cell r="M97">
            <v>46085</v>
          </cell>
        </row>
        <row r="98">
          <cell r="A98">
            <v>1167</v>
          </cell>
        </row>
        <row r="98">
          <cell r="C98" t="str">
            <v>章鹏</v>
          </cell>
        </row>
        <row r="98">
          <cell r="J98">
            <v>12075</v>
          </cell>
        </row>
        <row r="98">
          <cell r="M98">
            <v>46085</v>
          </cell>
        </row>
        <row r="99">
          <cell r="A99">
            <v>7609</v>
          </cell>
        </row>
        <row r="99">
          <cell r="C99" t="str">
            <v>俞东旭</v>
          </cell>
        </row>
        <row r="99">
          <cell r="J99">
            <v>12252</v>
          </cell>
        </row>
        <row r="99">
          <cell r="M99">
            <v>46089</v>
          </cell>
        </row>
        <row r="100">
          <cell r="A100">
            <v>2388</v>
          </cell>
        </row>
        <row r="100">
          <cell r="C100" t="str">
            <v>朱培源</v>
          </cell>
        </row>
        <row r="100">
          <cell r="J100">
            <v>12165</v>
          </cell>
        </row>
        <row r="100">
          <cell r="M100">
            <v>46093</v>
          </cell>
        </row>
        <row r="101">
          <cell r="A101">
            <v>3575</v>
          </cell>
        </row>
        <row r="101">
          <cell r="C101" t="str">
            <v>朱培源</v>
          </cell>
        </row>
        <row r="101">
          <cell r="J101">
            <v>12247</v>
          </cell>
        </row>
        <row r="101">
          <cell r="M101">
            <v>46089</v>
          </cell>
        </row>
        <row r="102">
          <cell r="A102">
            <v>4691</v>
          </cell>
        </row>
        <row r="102">
          <cell r="C102" t="str">
            <v>朱培源</v>
          </cell>
        </row>
        <row r="102">
          <cell r="J102">
            <v>11102</v>
          </cell>
        </row>
        <row r="102">
          <cell r="M102">
            <v>46100</v>
          </cell>
        </row>
        <row r="103">
          <cell r="A103">
            <v>1655</v>
          </cell>
        </row>
        <row r="103">
          <cell r="C103" t="str">
            <v>张潇</v>
          </cell>
        </row>
        <row r="103">
          <cell r="J103">
            <v>12071</v>
          </cell>
        </row>
        <row r="103">
          <cell r="M103">
            <v>46092</v>
          </cell>
        </row>
        <row r="104">
          <cell r="A104">
            <v>8463</v>
          </cell>
        </row>
        <row r="104">
          <cell r="C104" t="str">
            <v>张潇</v>
          </cell>
        </row>
        <row r="104">
          <cell r="J104">
            <v>12072</v>
          </cell>
        </row>
        <row r="104">
          <cell r="M104">
            <v>46112</v>
          </cell>
        </row>
        <row r="105">
          <cell r="A105">
            <v>1379</v>
          </cell>
        </row>
        <row r="105">
          <cell r="C105" t="str">
            <v>朱培源</v>
          </cell>
        </row>
        <row r="105">
          <cell r="J105">
            <v>12248</v>
          </cell>
        </row>
        <row r="105">
          <cell r="M105">
            <v>46091</v>
          </cell>
        </row>
        <row r="106">
          <cell r="A106">
            <v>1538</v>
          </cell>
        </row>
        <row r="106">
          <cell r="C106" t="str">
            <v>朱培源</v>
          </cell>
        </row>
        <row r="106">
          <cell r="J106">
            <v>12246</v>
          </cell>
        </row>
        <row r="106">
          <cell r="M106">
            <v>46086</v>
          </cell>
        </row>
        <row r="107">
          <cell r="A107">
            <v>8541</v>
          </cell>
        </row>
        <row r="107">
          <cell r="C107" t="str">
            <v>章鹏</v>
          </cell>
        </row>
        <row r="107">
          <cell r="J107">
            <v>12205</v>
          </cell>
        </row>
        <row r="107">
          <cell r="M107">
            <v>46089</v>
          </cell>
        </row>
        <row r="108">
          <cell r="A108">
            <v>1407</v>
          </cell>
        </row>
        <row r="108">
          <cell r="C108" t="str">
            <v>朱培源</v>
          </cell>
        </row>
        <row r="108">
          <cell r="J108">
            <v>12206</v>
          </cell>
        </row>
        <row r="108">
          <cell r="M108">
            <v>46094</v>
          </cell>
        </row>
        <row r="109">
          <cell r="A109">
            <v>9777</v>
          </cell>
        </row>
        <row r="109">
          <cell r="C109" t="str">
            <v>胡煜星</v>
          </cell>
        </row>
        <row r="109">
          <cell r="J109">
            <v>11997</v>
          </cell>
        </row>
        <row r="109">
          <cell r="M109">
            <v>46105</v>
          </cell>
        </row>
        <row r="110">
          <cell r="A110">
            <v>9305</v>
          </cell>
        </row>
        <row r="110">
          <cell r="C110" t="str">
            <v>章鹏</v>
          </cell>
        </row>
        <row r="110">
          <cell r="J110">
            <v>12262</v>
          </cell>
        </row>
        <row r="110">
          <cell r="M110">
            <v>46094</v>
          </cell>
        </row>
        <row r="111">
          <cell r="A111">
            <v>259</v>
          </cell>
        </row>
        <row r="111">
          <cell r="C111" t="str">
            <v>胡煜星</v>
          </cell>
        </row>
        <row r="111">
          <cell r="J111">
            <v>12244</v>
          </cell>
        </row>
        <row r="111">
          <cell r="M111">
            <v>46101</v>
          </cell>
        </row>
        <row r="112">
          <cell r="A112">
            <v>262</v>
          </cell>
        </row>
        <row r="112">
          <cell r="C112" t="str">
            <v>王偲涵</v>
          </cell>
        </row>
        <row r="112">
          <cell r="J112">
            <v>12243</v>
          </cell>
        </row>
        <row r="112">
          <cell r="M112">
            <v>46106</v>
          </cell>
        </row>
        <row r="113">
          <cell r="A113">
            <v>2553</v>
          </cell>
        </row>
        <row r="113">
          <cell r="C113" t="str">
            <v>王偲涵</v>
          </cell>
        </row>
        <row r="113">
          <cell r="J113">
            <v>12304</v>
          </cell>
        </row>
        <row r="113">
          <cell r="M113">
            <v>46095</v>
          </cell>
        </row>
        <row r="114">
          <cell r="A114">
            <v>263</v>
          </cell>
        </row>
        <row r="114">
          <cell r="C114" t="str">
            <v>王偲涵</v>
          </cell>
        </row>
        <row r="114">
          <cell r="J114">
            <v>12085</v>
          </cell>
        </row>
        <row r="114">
          <cell r="M114">
            <v>46099</v>
          </cell>
        </row>
        <row r="115">
          <cell r="A115">
            <v>264</v>
          </cell>
        </row>
        <row r="115">
          <cell r="C115" t="str">
            <v>王偲涵</v>
          </cell>
        </row>
        <row r="115">
          <cell r="J115">
            <v>12086</v>
          </cell>
        </row>
        <row r="115">
          <cell r="M115">
            <v>46100</v>
          </cell>
        </row>
        <row r="116">
          <cell r="A116">
            <v>5670</v>
          </cell>
        </row>
        <row r="116">
          <cell r="C116" t="str">
            <v>王偲涵</v>
          </cell>
        </row>
        <row r="116">
          <cell r="J116">
            <v>12258</v>
          </cell>
        </row>
        <row r="116">
          <cell r="M116">
            <v>46099</v>
          </cell>
        </row>
        <row r="117">
          <cell r="A117">
            <v>2585</v>
          </cell>
        </row>
        <row r="117">
          <cell r="C117" t="str">
            <v>俞东旭</v>
          </cell>
        </row>
        <row r="117">
          <cell r="J117">
            <v>12210</v>
          </cell>
        </row>
        <row r="117">
          <cell r="M117">
            <v>46104</v>
          </cell>
        </row>
        <row r="118">
          <cell r="A118">
            <v>289</v>
          </cell>
        </row>
        <row r="118">
          <cell r="C118" t="str">
            <v>王偲涵</v>
          </cell>
        </row>
        <row r="118">
          <cell r="J118">
            <v>12250</v>
          </cell>
        </row>
        <row r="118">
          <cell r="M118">
            <v>46096</v>
          </cell>
        </row>
        <row r="119">
          <cell r="A119">
            <v>7042</v>
          </cell>
        </row>
        <row r="119">
          <cell r="C119" t="str">
            <v>张潇</v>
          </cell>
        </row>
        <row r="119">
          <cell r="J119">
            <v>12251</v>
          </cell>
        </row>
        <row r="119">
          <cell r="M119">
            <v>46112</v>
          </cell>
        </row>
        <row r="120">
          <cell r="A120">
            <v>693</v>
          </cell>
        </row>
        <row r="120">
          <cell r="C120" t="str">
            <v>章鹏</v>
          </cell>
        </row>
        <row r="120">
          <cell r="J120">
            <v>12332</v>
          </cell>
        </row>
        <row r="120">
          <cell r="M120">
            <v>46095</v>
          </cell>
        </row>
        <row r="121">
          <cell r="A121">
            <v>8606</v>
          </cell>
        </row>
        <row r="121">
          <cell r="C121" t="str">
            <v>章鹏</v>
          </cell>
        </row>
        <row r="121">
          <cell r="J121">
            <v>12227</v>
          </cell>
        </row>
        <row r="121">
          <cell r="M121">
            <v>46097</v>
          </cell>
        </row>
        <row r="122">
          <cell r="A122">
            <v>1405</v>
          </cell>
        </row>
        <row r="122">
          <cell r="C122" t="str">
            <v>朱培源</v>
          </cell>
        </row>
        <row r="122">
          <cell r="J122">
            <v>12309</v>
          </cell>
        </row>
        <row r="122">
          <cell r="M122">
            <v>46101</v>
          </cell>
        </row>
        <row r="123">
          <cell r="A123">
            <v>1768</v>
          </cell>
        </row>
        <row r="123">
          <cell r="C123" t="str">
            <v>朱培源</v>
          </cell>
        </row>
        <row r="123">
          <cell r="J123">
            <v>12310</v>
          </cell>
        </row>
        <row r="123">
          <cell r="M123">
            <v>46096</v>
          </cell>
        </row>
        <row r="124">
          <cell r="A124">
            <v>228</v>
          </cell>
        </row>
        <row r="124">
          <cell r="C124" t="str">
            <v>朱培源</v>
          </cell>
        </row>
        <row r="124">
          <cell r="J124">
            <v>12311</v>
          </cell>
        </row>
        <row r="124">
          <cell r="M124">
            <v>46102</v>
          </cell>
        </row>
        <row r="125">
          <cell r="A125">
            <v>1487</v>
          </cell>
        </row>
        <row r="125">
          <cell r="C125" t="str">
            <v>俞东旭</v>
          </cell>
        </row>
        <row r="125">
          <cell r="J125">
            <v>12312</v>
          </cell>
        </row>
        <row r="125">
          <cell r="M125">
            <v>46096</v>
          </cell>
        </row>
        <row r="126">
          <cell r="A126">
            <v>338</v>
          </cell>
        </row>
        <row r="126">
          <cell r="C126" t="str">
            <v>朱培源</v>
          </cell>
        </row>
        <row r="126">
          <cell r="J126">
            <v>12441</v>
          </cell>
        </row>
        <row r="126">
          <cell r="M126">
            <v>46100</v>
          </cell>
        </row>
        <row r="127">
          <cell r="A127">
            <v>336</v>
          </cell>
        </row>
        <row r="127">
          <cell r="C127" t="str">
            <v>朱培源</v>
          </cell>
        </row>
        <row r="127">
          <cell r="J127">
            <v>12271</v>
          </cell>
        </row>
        <row r="127">
          <cell r="M127">
            <v>46098</v>
          </cell>
        </row>
        <row r="128">
          <cell r="A128">
            <v>327</v>
          </cell>
        </row>
        <row r="128">
          <cell r="C128" t="str">
            <v>朱培源</v>
          </cell>
        </row>
        <row r="128">
          <cell r="J128">
            <v>12270</v>
          </cell>
        </row>
        <row r="128">
          <cell r="M128">
            <v>46100</v>
          </cell>
        </row>
        <row r="129">
          <cell r="A129">
            <v>337</v>
          </cell>
        </row>
        <row r="129">
          <cell r="C129" t="str">
            <v>朱培源</v>
          </cell>
        </row>
        <row r="129">
          <cell r="J129">
            <v>12318</v>
          </cell>
        </row>
        <row r="129">
          <cell r="M129">
            <v>46103</v>
          </cell>
        </row>
        <row r="130">
          <cell r="A130">
            <v>293</v>
          </cell>
        </row>
        <row r="130">
          <cell r="C130" t="str">
            <v>朱培源</v>
          </cell>
        </row>
        <row r="130">
          <cell r="J130">
            <v>12320</v>
          </cell>
        </row>
        <row r="130">
          <cell r="M130">
            <v>46131</v>
          </cell>
        </row>
        <row r="131">
          <cell r="A131">
            <v>5590</v>
          </cell>
        </row>
        <row r="131">
          <cell r="C131" t="str">
            <v>朱培源</v>
          </cell>
        </row>
        <row r="131">
          <cell r="J131">
            <v>12305</v>
          </cell>
        </row>
        <row r="131">
          <cell r="M131">
            <v>46100</v>
          </cell>
        </row>
        <row r="132">
          <cell r="A132">
            <v>292</v>
          </cell>
        </row>
        <row r="132">
          <cell r="C132" t="str">
            <v>朱培源</v>
          </cell>
        </row>
        <row r="132">
          <cell r="J132">
            <v>12321</v>
          </cell>
        </row>
        <row r="132">
          <cell r="M132">
            <v>46120</v>
          </cell>
        </row>
        <row r="133">
          <cell r="A133">
            <v>1734</v>
          </cell>
        </row>
        <row r="133">
          <cell r="C133" t="str">
            <v>朱培源</v>
          </cell>
        </row>
        <row r="133">
          <cell r="J133">
            <v>12272</v>
          </cell>
        </row>
        <row r="133">
          <cell r="M133">
            <v>46099</v>
          </cell>
        </row>
        <row r="134">
          <cell r="A134">
            <v>428</v>
          </cell>
        </row>
        <row r="134">
          <cell r="C134" t="str">
            <v>胡煜星</v>
          </cell>
        </row>
        <row r="134">
          <cell r="J134">
            <v>12292</v>
          </cell>
        </row>
        <row r="134">
          <cell r="M134">
            <v>46100</v>
          </cell>
        </row>
        <row r="135">
          <cell r="A135">
            <v>371</v>
          </cell>
        </row>
        <row r="135">
          <cell r="C135" t="str">
            <v>朱培源</v>
          </cell>
        </row>
        <row r="135">
          <cell r="J135">
            <v>12333</v>
          </cell>
        </row>
        <row r="135">
          <cell r="M135">
            <v>46116</v>
          </cell>
        </row>
        <row r="136">
          <cell r="A136">
            <v>372</v>
          </cell>
        </row>
        <row r="136">
          <cell r="C136" t="str">
            <v>朱培源</v>
          </cell>
        </row>
        <row r="136">
          <cell r="J136">
            <v>12334</v>
          </cell>
        </row>
        <row r="136">
          <cell r="M136">
            <v>46105</v>
          </cell>
        </row>
        <row r="137">
          <cell r="A137">
            <v>623</v>
          </cell>
        </row>
        <row r="137">
          <cell r="C137" t="str">
            <v>俞东旭</v>
          </cell>
        </row>
        <row r="137">
          <cell r="J137">
            <v>12368</v>
          </cell>
        </row>
        <row r="137">
          <cell r="M137">
            <v>46104</v>
          </cell>
        </row>
        <row r="138">
          <cell r="A138">
            <v>624</v>
          </cell>
        </row>
        <row r="138">
          <cell r="C138" t="str">
            <v>俞东旭</v>
          </cell>
        </row>
        <row r="138">
          <cell r="J138">
            <v>12306</v>
          </cell>
        </row>
        <row r="138">
          <cell r="M138">
            <v>46099</v>
          </cell>
        </row>
        <row r="139">
          <cell r="A139">
            <v>625</v>
          </cell>
        </row>
        <row r="139">
          <cell r="C139" t="str">
            <v>俞东旭</v>
          </cell>
        </row>
        <row r="139">
          <cell r="J139">
            <v>12307</v>
          </cell>
        </row>
        <row r="139">
          <cell r="M139">
            <v>46103</v>
          </cell>
        </row>
        <row r="140">
          <cell r="A140">
            <v>482</v>
          </cell>
        </row>
        <row r="140">
          <cell r="C140" t="str">
            <v>王偲涵</v>
          </cell>
        </row>
        <row r="140">
          <cell r="J140">
            <v>12308</v>
          </cell>
        </row>
        <row r="140">
          <cell r="M140">
            <v>46099</v>
          </cell>
        </row>
        <row r="141">
          <cell r="A141">
            <v>5919</v>
          </cell>
        </row>
        <row r="141">
          <cell r="C141" t="str">
            <v>朱培源</v>
          </cell>
        </row>
        <row r="141">
          <cell r="J141">
            <v>12293</v>
          </cell>
        </row>
        <row r="141">
          <cell r="M141">
            <v>46104</v>
          </cell>
        </row>
        <row r="142">
          <cell r="A142">
            <v>349</v>
          </cell>
        </row>
        <row r="142">
          <cell r="C142" t="str">
            <v>朱培源</v>
          </cell>
        </row>
        <row r="142">
          <cell r="J142">
            <v>12298</v>
          </cell>
        </row>
        <row r="143">
          <cell r="A143">
            <v>350</v>
          </cell>
        </row>
        <row r="143">
          <cell r="C143" t="str">
            <v>朱培源</v>
          </cell>
        </row>
        <row r="143">
          <cell r="J143">
            <v>12299</v>
          </cell>
        </row>
        <row r="143">
          <cell r="M143">
            <v>46119</v>
          </cell>
        </row>
        <row r="144">
          <cell r="A144">
            <v>111</v>
          </cell>
        </row>
        <row r="144">
          <cell r="C144" t="str">
            <v>朱培源</v>
          </cell>
        </row>
        <row r="144">
          <cell r="J144">
            <v>12396</v>
          </cell>
        </row>
        <row r="145">
          <cell r="A145">
            <v>365</v>
          </cell>
        </row>
        <row r="145">
          <cell r="C145" t="str">
            <v>朱培源</v>
          </cell>
        </row>
        <row r="145">
          <cell r="J145">
            <v>12291</v>
          </cell>
        </row>
        <row r="145">
          <cell r="M145">
            <v>46134</v>
          </cell>
        </row>
        <row r="146">
          <cell r="A146">
            <v>10133</v>
          </cell>
        </row>
        <row r="146">
          <cell r="C146" t="str">
            <v>朱培源</v>
          </cell>
        </row>
        <row r="146">
          <cell r="J146">
            <v>12290</v>
          </cell>
        </row>
        <row r="146">
          <cell r="M146">
            <v>46119</v>
          </cell>
        </row>
        <row r="147">
          <cell r="A147">
            <v>3751</v>
          </cell>
        </row>
        <row r="147">
          <cell r="C147" t="str">
            <v>张潇</v>
          </cell>
        </row>
        <row r="147">
          <cell r="J147">
            <v>12391</v>
          </cell>
        </row>
        <row r="147">
          <cell r="M147">
            <v>46118</v>
          </cell>
        </row>
        <row r="148">
          <cell r="A148">
            <v>2518</v>
          </cell>
        </row>
        <row r="148">
          <cell r="C148" t="str">
            <v>朱培源</v>
          </cell>
        </row>
        <row r="148">
          <cell r="J148">
            <v>12398</v>
          </cell>
        </row>
        <row r="148">
          <cell r="M148">
            <v>46114</v>
          </cell>
        </row>
        <row r="149">
          <cell r="A149">
            <v>5362</v>
          </cell>
        </row>
        <row r="149">
          <cell r="C149" t="str">
            <v>俞东旭</v>
          </cell>
        </row>
        <row r="149">
          <cell r="J149">
            <v>12357</v>
          </cell>
        </row>
        <row r="149">
          <cell r="M149">
            <v>46104</v>
          </cell>
        </row>
        <row r="150">
          <cell r="A150">
            <v>638</v>
          </cell>
        </row>
        <row r="150">
          <cell r="C150" t="str">
            <v>胡煜星</v>
          </cell>
        </row>
        <row r="150">
          <cell r="J150">
            <v>12423</v>
          </cell>
        </row>
        <row r="150">
          <cell r="M150">
            <v>46108</v>
          </cell>
        </row>
        <row r="151">
          <cell r="A151">
            <v>2554</v>
          </cell>
        </row>
        <row r="151">
          <cell r="C151" t="str">
            <v>朱培源</v>
          </cell>
        </row>
        <row r="151">
          <cell r="J151">
            <v>12387</v>
          </cell>
        </row>
        <row r="151">
          <cell r="M151">
            <v>46125</v>
          </cell>
        </row>
        <row r="152">
          <cell r="A152">
            <v>652</v>
          </cell>
        </row>
        <row r="152">
          <cell r="C152" t="str">
            <v>胡煜星</v>
          </cell>
        </row>
        <row r="152">
          <cell r="J152">
            <v>12388</v>
          </cell>
        </row>
        <row r="152">
          <cell r="M152">
            <v>46125</v>
          </cell>
        </row>
        <row r="153">
          <cell r="A153">
            <v>653</v>
          </cell>
        </row>
        <row r="153">
          <cell r="C153" t="str">
            <v>胡煜星</v>
          </cell>
        </row>
        <row r="153">
          <cell r="J153">
            <v>12474</v>
          </cell>
        </row>
        <row r="153">
          <cell r="M153">
            <v>46116</v>
          </cell>
        </row>
        <row r="154">
          <cell r="A154">
            <v>654</v>
          </cell>
        </row>
        <row r="154">
          <cell r="C154" t="str">
            <v>胡煜星</v>
          </cell>
        </row>
        <row r="154">
          <cell r="J154">
            <v>12429</v>
          </cell>
        </row>
        <row r="154">
          <cell r="M154">
            <v>46111</v>
          </cell>
        </row>
        <row r="155">
          <cell r="A155">
            <v>655</v>
          </cell>
        </row>
        <row r="155">
          <cell r="C155" t="str">
            <v>胡煜星</v>
          </cell>
        </row>
        <row r="155">
          <cell r="J155">
            <v>12424</v>
          </cell>
        </row>
        <row r="156">
          <cell r="A156">
            <v>565</v>
          </cell>
        </row>
        <row r="156">
          <cell r="C156" t="str">
            <v>胡煜星</v>
          </cell>
        </row>
        <row r="156">
          <cell r="J156">
            <v>12386</v>
          </cell>
        </row>
        <row r="156">
          <cell r="M156">
            <v>46123</v>
          </cell>
        </row>
        <row r="157">
          <cell r="A157">
            <v>566</v>
          </cell>
        </row>
        <row r="157">
          <cell r="C157" t="str">
            <v>胡煜星</v>
          </cell>
        </row>
        <row r="157">
          <cell r="J157">
            <v>12426</v>
          </cell>
        </row>
        <row r="157">
          <cell r="M157">
            <v>46115</v>
          </cell>
        </row>
        <row r="158">
          <cell r="A158">
            <v>2638</v>
          </cell>
        </row>
        <row r="158">
          <cell r="C158" t="str">
            <v>朱培源</v>
          </cell>
        </row>
        <row r="158">
          <cell r="J158">
            <v>12483</v>
          </cell>
        </row>
        <row r="158">
          <cell r="M158">
            <v>46111</v>
          </cell>
        </row>
        <row r="159">
          <cell r="A159">
            <v>574</v>
          </cell>
        </row>
        <row r="159">
          <cell r="C159" t="str">
            <v>王偲涵</v>
          </cell>
        </row>
        <row r="159">
          <cell r="J159">
            <v>12484</v>
          </cell>
        </row>
        <row r="159">
          <cell r="M159">
            <v>46111</v>
          </cell>
        </row>
        <row r="160">
          <cell r="A160">
            <v>575</v>
          </cell>
        </row>
        <row r="160">
          <cell r="C160" t="str">
            <v>王偲涵</v>
          </cell>
        </row>
        <row r="160">
          <cell r="J160">
            <v>12414</v>
          </cell>
        </row>
        <row r="161">
          <cell r="A161">
            <v>576</v>
          </cell>
        </row>
        <row r="161">
          <cell r="C161" t="str">
            <v>王偲涵</v>
          </cell>
        </row>
        <row r="161">
          <cell r="J161">
            <v>12422</v>
          </cell>
        </row>
        <row r="161">
          <cell r="M161">
            <v>46141</v>
          </cell>
        </row>
        <row r="162">
          <cell r="A162">
            <v>2637</v>
          </cell>
        </row>
        <row r="162">
          <cell r="C162" t="str">
            <v>朱培源</v>
          </cell>
        </row>
        <row r="162">
          <cell r="J162">
            <v>12213</v>
          </cell>
        </row>
        <row r="162">
          <cell r="M162">
            <v>46114</v>
          </cell>
        </row>
        <row r="163">
          <cell r="A163">
            <v>2712</v>
          </cell>
        </row>
        <row r="163">
          <cell r="C163" t="str">
            <v>朱培源</v>
          </cell>
        </row>
        <row r="163">
          <cell r="J163">
            <v>12461</v>
          </cell>
        </row>
        <row r="163">
          <cell r="M163">
            <v>46124</v>
          </cell>
        </row>
        <row r="164">
          <cell r="A164">
            <v>4678</v>
          </cell>
        </row>
        <row r="164">
          <cell r="C164" t="str">
            <v>王偲涵</v>
          </cell>
        </row>
        <row r="164">
          <cell r="J164">
            <v>12489</v>
          </cell>
        </row>
        <row r="164">
          <cell r="M164">
            <v>46126</v>
          </cell>
        </row>
        <row r="165">
          <cell r="A165">
            <v>596</v>
          </cell>
        </row>
        <row r="165">
          <cell r="C165" t="str">
            <v>胡煜星</v>
          </cell>
        </row>
        <row r="165">
          <cell r="J165">
            <v>12480</v>
          </cell>
        </row>
        <row r="165">
          <cell r="M165">
            <v>46139</v>
          </cell>
        </row>
        <row r="166">
          <cell r="A166">
            <v>2732</v>
          </cell>
        </row>
        <row r="166">
          <cell r="C166" t="str">
            <v>朱培源</v>
          </cell>
        </row>
        <row r="166">
          <cell r="J166">
            <v>12558</v>
          </cell>
        </row>
        <row r="167">
          <cell r="A167">
            <v>2752</v>
          </cell>
        </row>
        <row r="167">
          <cell r="C167" t="str">
            <v>朱培源</v>
          </cell>
        </row>
        <row r="167">
          <cell r="J167">
            <v>12473</v>
          </cell>
        </row>
        <row r="168">
          <cell r="A168">
            <v>945</v>
          </cell>
        </row>
        <row r="168">
          <cell r="C168" t="str">
            <v>胡煜星</v>
          </cell>
        </row>
        <row r="168">
          <cell r="J168">
            <v>12464</v>
          </cell>
        </row>
        <row r="168">
          <cell r="M168">
            <v>46135</v>
          </cell>
        </row>
        <row r="169">
          <cell r="A169">
            <v>954</v>
          </cell>
        </row>
        <row r="169">
          <cell r="C169" t="str">
            <v>胡煜星</v>
          </cell>
        </row>
        <row r="169">
          <cell r="J169">
            <v>12540</v>
          </cell>
        </row>
        <row r="170">
          <cell r="A170">
            <v>955</v>
          </cell>
        </row>
        <row r="170">
          <cell r="C170" t="str">
            <v>胡煜星</v>
          </cell>
        </row>
        <row r="170">
          <cell r="J170">
            <v>12541</v>
          </cell>
        </row>
        <row r="170">
          <cell r="M170">
            <v>46140</v>
          </cell>
        </row>
        <row r="171">
          <cell r="A171">
            <v>1727</v>
          </cell>
        </row>
        <row r="171">
          <cell r="C171" t="str">
            <v>朱培源</v>
          </cell>
        </row>
        <row r="171">
          <cell r="J171">
            <v>12542</v>
          </cell>
        </row>
        <row r="172">
          <cell r="A172">
            <v>8233</v>
          </cell>
        </row>
        <row r="172">
          <cell r="C172" t="str">
            <v>俞东旭</v>
          </cell>
        </row>
        <row r="172">
          <cell r="J172">
            <v>12543</v>
          </cell>
        </row>
        <row r="172">
          <cell r="M172">
            <v>46144</v>
          </cell>
        </row>
        <row r="173">
          <cell r="A173">
            <v>985</v>
          </cell>
        </row>
        <row r="173">
          <cell r="C173" t="str">
            <v>俞东旭</v>
          </cell>
        </row>
        <row r="173">
          <cell r="J173">
            <v>12544</v>
          </cell>
        </row>
        <row r="173">
          <cell r="M173">
            <v>46142</v>
          </cell>
        </row>
        <row r="174">
          <cell r="A174">
            <v>1008</v>
          </cell>
        </row>
        <row r="174">
          <cell r="C174" t="str">
            <v>俞东旭</v>
          </cell>
        </row>
        <row r="174">
          <cell r="J174">
            <v>12612</v>
          </cell>
        </row>
        <row r="175">
          <cell r="A175">
            <v>1010</v>
          </cell>
        </row>
        <row r="175">
          <cell r="C175" t="str">
            <v>俞东旭</v>
          </cell>
        </row>
        <row r="175">
          <cell r="J175">
            <v>12651</v>
          </cell>
        </row>
        <row r="175">
          <cell r="M175">
            <v>46142</v>
          </cell>
        </row>
        <row r="176">
          <cell r="A176">
            <v>1011</v>
          </cell>
        </row>
        <row r="176">
          <cell r="C176" t="str">
            <v>俞东旭</v>
          </cell>
        </row>
        <row r="176">
          <cell r="J176">
            <v>12604</v>
          </cell>
        </row>
        <row r="177">
          <cell r="A177">
            <v>1022</v>
          </cell>
        </row>
        <row r="177">
          <cell r="C177" t="str">
            <v>王偲涵</v>
          </cell>
        </row>
        <row r="177">
          <cell r="J177">
            <v>12526</v>
          </cell>
        </row>
        <row r="178">
          <cell r="A178">
            <v>8842</v>
          </cell>
        </row>
        <row r="178">
          <cell r="C178" t="str">
            <v>章鹏</v>
          </cell>
        </row>
        <row r="178">
          <cell r="J178">
            <v>12590</v>
          </cell>
        </row>
        <row r="178">
          <cell r="M178">
            <v>46143</v>
          </cell>
        </row>
        <row r="179">
          <cell r="A179">
            <v>3013</v>
          </cell>
        </row>
        <row r="179">
          <cell r="C179" t="str">
            <v>朱培源</v>
          </cell>
        </row>
        <row r="179">
          <cell r="J179">
            <v>12586</v>
          </cell>
        </row>
        <row r="179">
          <cell r="M179">
            <v>46142</v>
          </cell>
        </row>
        <row r="180">
          <cell r="A180">
            <v>3024</v>
          </cell>
        </row>
        <row r="180">
          <cell r="C180" t="str">
            <v>朱培源</v>
          </cell>
        </row>
        <row r="180">
          <cell r="J180">
            <v>12615</v>
          </cell>
        </row>
        <row r="180">
          <cell r="M180">
            <v>46150</v>
          </cell>
        </row>
        <row r="181">
          <cell r="A181">
            <v>1032</v>
          </cell>
        </row>
        <row r="181">
          <cell r="C181" t="str">
            <v>王偲涵</v>
          </cell>
        </row>
        <row r="181">
          <cell r="J181">
            <v>12616</v>
          </cell>
        </row>
        <row r="181">
          <cell r="M181">
            <v>46145</v>
          </cell>
        </row>
        <row r="182">
          <cell r="A182">
            <v>1049</v>
          </cell>
        </row>
        <row r="182">
          <cell r="C182" t="str">
            <v>王偲涵</v>
          </cell>
        </row>
        <row r="182">
          <cell r="J182">
            <v>12572</v>
          </cell>
        </row>
        <row r="182">
          <cell r="M182">
            <v>46147</v>
          </cell>
        </row>
        <row r="183">
          <cell r="A183">
            <v>1051</v>
          </cell>
        </row>
        <row r="183">
          <cell r="C183" t="str">
            <v>王偲涵</v>
          </cell>
        </row>
        <row r="183">
          <cell r="J183">
            <v>12573</v>
          </cell>
        </row>
        <row r="184">
          <cell r="A184">
            <v>5363</v>
          </cell>
        </row>
        <row r="184">
          <cell r="C184" t="str">
            <v>俞东旭</v>
          </cell>
        </row>
        <row r="184">
          <cell r="J184">
            <v>12650</v>
          </cell>
        </row>
        <row r="185">
          <cell r="A185">
            <v>3043</v>
          </cell>
        </row>
        <row r="185">
          <cell r="C185" t="str">
            <v>朱培源</v>
          </cell>
        </row>
        <row r="185">
          <cell r="J185">
            <v>12649</v>
          </cell>
        </row>
        <row r="186">
          <cell r="A186">
            <v>3031</v>
          </cell>
        </row>
        <row r="186">
          <cell r="C186" t="str">
            <v>朱培源</v>
          </cell>
        </row>
        <row r="186">
          <cell r="J186">
            <v>12632</v>
          </cell>
        </row>
        <row r="187">
          <cell r="A187">
            <v>1119</v>
          </cell>
        </row>
        <row r="187">
          <cell r="C187" t="str">
            <v>王偲涵</v>
          </cell>
        </row>
        <row r="187">
          <cell r="J187">
            <v>12631</v>
          </cell>
        </row>
        <row r="187">
          <cell r="M187">
            <v>46142</v>
          </cell>
        </row>
        <row r="188">
          <cell r="A188">
            <v>1120</v>
          </cell>
        </row>
        <row r="188">
          <cell r="C188" t="str">
            <v>王偲涵</v>
          </cell>
        </row>
        <row r="188">
          <cell r="J188">
            <v>12630</v>
          </cell>
        </row>
        <row r="188">
          <cell r="M188">
            <v>46144</v>
          </cell>
        </row>
        <row r="189">
          <cell r="A189">
            <v>1121</v>
          </cell>
        </row>
        <row r="189">
          <cell r="C189" t="str">
            <v>王偲涵</v>
          </cell>
        </row>
        <row r="189">
          <cell r="J189">
            <v>12587</v>
          </cell>
        </row>
        <row r="189">
          <cell r="M189">
            <v>46144</v>
          </cell>
        </row>
        <row r="190">
          <cell r="A190">
            <v>1122</v>
          </cell>
        </row>
        <row r="190">
          <cell r="C190" t="str">
            <v>王偲涵</v>
          </cell>
        </row>
        <row r="190">
          <cell r="J190">
            <v>12569</v>
          </cell>
        </row>
        <row r="191">
          <cell r="A191">
            <v>1462</v>
          </cell>
        </row>
        <row r="191">
          <cell r="C191" t="str">
            <v>张潇</v>
          </cell>
        </row>
        <row r="191">
          <cell r="J191">
            <v>12575</v>
          </cell>
        </row>
        <row r="191">
          <cell r="M191">
            <v>46147</v>
          </cell>
        </row>
        <row r="192">
          <cell r="A192">
            <v>7894</v>
          </cell>
        </row>
        <row r="192">
          <cell r="C192" t="str">
            <v>章鹏</v>
          </cell>
        </row>
        <row r="192">
          <cell r="J192">
            <v>12574</v>
          </cell>
        </row>
        <row r="193">
          <cell r="A193">
            <v>3103</v>
          </cell>
        </row>
        <row r="193">
          <cell r="C193" t="str">
            <v>朱培源</v>
          </cell>
        </row>
        <row r="193">
          <cell r="J193">
            <v>12629</v>
          </cell>
        </row>
        <row r="193">
          <cell r="M193">
            <v>46146</v>
          </cell>
        </row>
        <row r="194">
          <cell r="A194">
            <v>3104</v>
          </cell>
        </row>
        <row r="194">
          <cell r="C194" t="str">
            <v>朱培源</v>
          </cell>
        </row>
        <row r="194">
          <cell r="J194">
            <v>12591</v>
          </cell>
        </row>
        <row r="195">
          <cell r="A195">
            <v>1141</v>
          </cell>
        </row>
        <row r="195">
          <cell r="C195" t="str">
            <v>王偲涵</v>
          </cell>
        </row>
        <row r="195">
          <cell r="J195">
            <v>12606</v>
          </cell>
        </row>
        <row r="196">
          <cell r="A196">
            <v>9135</v>
          </cell>
        </row>
        <row r="196">
          <cell r="C196" t="str">
            <v>朱培源</v>
          </cell>
        </row>
        <row r="196">
          <cell r="J196">
            <v>12614</v>
          </cell>
        </row>
        <row r="197">
          <cell r="A197">
            <v>1150</v>
          </cell>
        </row>
        <row r="197">
          <cell r="C197" t="str">
            <v>朱培源</v>
          </cell>
        </row>
        <row r="197">
          <cell r="J197">
            <v>12532</v>
          </cell>
        </row>
        <row r="198">
          <cell r="A198">
            <v>1154</v>
          </cell>
        </row>
        <row r="198">
          <cell r="C198" t="str">
            <v>胡煜星</v>
          </cell>
        </row>
        <row r="198">
          <cell r="J198">
            <v>12713</v>
          </cell>
        </row>
        <row r="199">
          <cell r="A199">
            <v>1155</v>
          </cell>
        </row>
        <row r="199">
          <cell r="C199" t="str">
            <v>王偲涵</v>
          </cell>
        </row>
        <row r="199">
          <cell r="J199">
            <v>12732</v>
          </cell>
        </row>
        <row r="200">
          <cell r="A200">
            <v>3242</v>
          </cell>
        </row>
        <row r="200">
          <cell r="C200" t="str">
            <v>俞东旭</v>
          </cell>
        </row>
        <row r="200">
          <cell r="J200">
            <v>12658</v>
          </cell>
        </row>
        <row r="201">
          <cell r="A201">
            <v>5589</v>
          </cell>
        </row>
        <row r="201">
          <cell r="C201" t="str">
            <v>朱培源</v>
          </cell>
        </row>
        <row r="201">
          <cell r="J201">
            <v>12741</v>
          </cell>
        </row>
        <row r="202">
          <cell r="A202">
            <v>3187</v>
          </cell>
        </row>
        <row r="202">
          <cell r="C202" t="str">
            <v>朱培源</v>
          </cell>
        </row>
        <row r="202">
          <cell r="J202">
            <v>12740</v>
          </cell>
        </row>
        <row r="203">
          <cell r="A203">
            <v>1201</v>
          </cell>
        </row>
        <row r="203">
          <cell r="C203" t="str">
            <v>张潇</v>
          </cell>
        </row>
        <row r="203">
          <cell r="J203">
            <v>12743</v>
          </cell>
        </row>
        <row r="203">
          <cell r="M203">
            <v>46151</v>
          </cell>
        </row>
        <row r="204">
          <cell r="A204">
            <v>1247</v>
          </cell>
        </row>
        <row r="204">
          <cell r="C204" t="str">
            <v>王偲涵</v>
          </cell>
        </row>
        <row r="204">
          <cell r="J204">
            <v>12742</v>
          </cell>
        </row>
        <row r="205">
          <cell r="A205">
            <v>3249</v>
          </cell>
        </row>
        <row r="205">
          <cell r="C205" t="str">
            <v>朱培源</v>
          </cell>
        </row>
        <row r="206">
          <cell r="A206">
            <v>10091</v>
          </cell>
        </row>
        <row r="206">
          <cell r="C206" t="str">
            <v>朱培源</v>
          </cell>
        </row>
        <row r="207">
          <cell r="A207">
            <v>1292</v>
          </cell>
        </row>
        <row r="207">
          <cell r="C207" t="str">
            <v>王偲涵</v>
          </cell>
        </row>
        <row r="208">
          <cell r="A208">
            <v>1302</v>
          </cell>
        </row>
        <row r="208">
          <cell r="C208" t="str">
            <v>俞东旭</v>
          </cell>
        </row>
        <row r="209">
          <cell r="A209">
            <v>635</v>
          </cell>
        </row>
        <row r="209">
          <cell r="C209" t="str">
            <v>章鹏</v>
          </cell>
        </row>
        <row r="210">
          <cell r="A210">
            <v>1320</v>
          </cell>
        </row>
        <row r="210">
          <cell r="C210" t="str">
            <v>胡煜星</v>
          </cell>
        </row>
        <row r="211">
          <cell r="A211">
            <v>3385</v>
          </cell>
        </row>
        <row r="211">
          <cell r="C211" t="str">
            <v>朱培源</v>
          </cell>
        </row>
        <row r="212">
          <cell r="A212">
            <v>9482</v>
          </cell>
        </row>
        <row r="212">
          <cell r="C212" t="str">
            <v>张潇</v>
          </cell>
        </row>
        <row r="213">
          <cell r="A213">
            <v>8936</v>
          </cell>
        </row>
        <row r="213">
          <cell r="C213" t="str">
            <v>章鹏</v>
          </cell>
        </row>
        <row r="214">
          <cell r="A214">
            <v>3512</v>
          </cell>
        </row>
        <row r="214">
          <cell r="C214" t="str">
            <v>朱培源</v>
          </cell>
        </row>
        <row r="215">
          <cell r="A215">
            <v>3534</v>
          </cell>
        </row>
        <row r="215">
          <cell r="C215" t="str">
            <v>朱培源</v>
          </cell>
        </row>
        <row r="216">
          <cell r="A216">
            <v>3535</v>
          </cell>
        </row>
        <row r="216">
          <cell r="C216" t="str">
            <v>朱培源</v>
          </cell>
        </row>
        <row r="217">
          <cell r="A217">
            <v>3536</v>
          </cell>
        </row>
        <row r="217">
          <cell r="C217" t="str">
            <v>朱培源</v>
          </cell>
        </row>
        <row r="218">
          <cell r="A218">
            <v>8608</v>
          </cell>
        </row>
        <row r="218">
          <cell r="C218" t="str">
            <v>章鹏</v>
          </cell>
        </row>
        <row r="219">
          <cell r="A219">
            <v>1152</v>
          </cell>
        </row>
        <row r="219">
          <cell r="C219" t="str">
            <v>朱培源</v>
          </cell>
        </row>
        <row r="220">
          <cell r="A220">
            <v>1448</v>
          </cell>
        </row>
        <row r="220">
          <cell r="C220" t="str">
            <v>王偲涵</v>
          </cell>
        </row>
        <row r="221">
          <cell r="A221">
            <v>1449</v>
          </cell>
        </row>
        <row r="221">
          <cell r="C221" t="str">
            <v>王偲涵</v>
          </cell>
        </row>
        <row r="222">
          <cell r="A222">
            <v>1459</v>
          </cell>
        </row>
        <row r="222">
          <cell r="C222" t="str">
            <v>胡煜星</v>
          </cell>
        </row>
        <row r="223">
          <cell r="A223">
            <v>3708</v>
          </cell>
        </row>
        <row r="223">
          <cell r="C223" t="str">
            <v>朱培源</v>
          </cell>
        </row>
        <row r="224">
          <cell r="A224">
            <v>1497</v>
          </cell>
        </row>
        <row r="224">
          <cell r="C224" t="str">
            <v>王偲涵</v>
          </cell>
        </row>
        <row r="225">
          <cell r="A225">
            <v>1498</v>
          </cell>
        </row>
        <row r="225">
          <cell r="C225" t="str">
            <v>王偲涵</v>
          </cell>
        </row>
        <row r="226">
          <cell r="A226">
            <v>1513</v>
          </cell>
        </row>
        <row r="226">
          <cell r="C226" t="str">
            <v>王偲涵</v>
          </cell>
        </row>
        <row r="227">
          <cell r="A227">
            <v>1520</v>
          </cell>
        </row>
        <row r="227">
          <cell r="C227" t="str">
            <v>俞东旭</v>
          </cell>
        </row>
        <row r="228">
          <cell r="A228">
            <v>1536</v>
          </cell>
        </row>
        <row r="228">
          <cell r="C228" t="str">
            <v>王偲涵</v>
          </cell>
        </row>
        <row r="229">
          <cell r="A229">
            <v>840</v>
          </cell>
        </row>
        <row r="229">
          <cell r="C229" t="str">
            <v>朱培源</v>
          </cell>
        </row>
        <row r="230">
          <cell r="A230">
            <v>1584</v>
          </cell>
        </row>
        <row r="230">
          <cell r="C230" t="str">
            <v>王偲涵</v>
          </cell>
        </row>
        <row r="231">
          <cell r="A231">
            <v>2993</v>
          </cell>
        </row>
        <row r="231">
          <cell r="C231" t="str">
            <v>王偲涵</v>
          </cell>
        </row>
        <row r="232">
          <cell r="A232">
            <v>1586</v>
          </cell>
        </row>
        <row r="232">
          <cell r="C232" t="str">
            <v>王偲涵</v>
          </cell>
        </row>
        <row r="233">
          <cell r="A233">
            <v>1588</v>
          </cell>
        </row>
        <row r="233">
          <cell r="C233" t="str">
            <v>王偲涵</v>
          </cell>
        </row>
        <row r="234">
          <cell r="A234">
            <v>1634</v>
          </cell>
        </row>
        <row r="234">
          <cell r="C234" t="str">
            <v>王偲涵</v>
          </cell>
        </row>
        <row r="235">
          <cell r="A235">
            <v>1643</v>
          </cell>
        </row>
        <row r="235">
          <cell r="C235" t="str">
            <v>王偲涵</v>
          </cell>
        </row>
        <row r="236">
          <cell r="A236">
            <v>1691</v>
          </cell>
        </row>
        <row r="236">
          <cell r="C236" t="str">
            <v>王偲涵</v>
          </cell>
        </row>
        <row r="237">
          <cell r="A237">
            <v>1697</v>
          </cell>
        </row>
        <row r="237">
          <cell r="C237" t="str">
            <v>王偲涵</v>
          </cell>
        </row>
        <row r="238">
          <cell r="A238">
            <v>1698</v>
          </cell>
        </row>
        <row r="238">
          <cell r="C238" t="str">
            <v>王偲涵</v>
          </cell>
        </row>
        <row r="239">
          <cell r="A239">
            <v>1699</v>
          </cell>
        </row>
        <row r="239">
          <cell r="C239" t="str">
            <v>王偲涵</v>
          </cell>
        </row>
        <row r="240">
          <cell r="A240">
            <v>1700</v>
          </cell>
        </row>
        <row r="240">
          <cell r="C240" t="str">
            <v>王偲涵</v>
          </cell>
        </row>
        <row r="241">
          <cell r="A241">
            <v>1707</v>
          </cell>
        </row>
        <row r="241">
          <cell r="C241" t="str">
            <v>王偲涵</v>
          </cell>
        </row>
        <row r="242">
          <cell r="A242">
            <v>1708</v>
          </cell>
        </row>
        <row r="242">
          <cell r="C242" t="str">
            <v>王偲涵</v>
          </cell>
        </row>
        <row r="243">
          <cell r="A243">
            <v>1710</v>
          </cell>
        </row>
        <row r="243">
          <cell r="C243" t="str">
            <v>王偲涵</v>
          </cell>
        </row>
        <row r="244">
          <cell r="A244">
            <v>1712</v>
          </cell>
        </row>
        <row r="244">
          <cell r="C244" t="str">
            <v>王偲涵</v>
          </cell>
        </row>
        <row r="245">
          <cell r="A245">
            <v>1714</v>
          </cell>
        </row>
        <row r="245">
          <cell r="C245" t="str">
            <v>王偲涵</v>
          </cell>
        </row>
        <row r="246">
          <cell r="A246">
            <v>1716</v>
          </cell>
        </row>
        <row r="246">
          <cell r="C246" t="str">
            <v>王偲涵</v>
          </cell>
        </row>
        <row r="247">
          <cell r="A247">
            <v>3284</v>
          </cell>
        </row>
        <row r="247">
          <cell r="C247" t="str">
            <v>胡煜星</v>
          </cell>
        </row>
        <row r="248">
          <cell r="A248">
            <v>3341</v>
          </cell>
        </row>
        <row r="248">
          <cell r="C248" t="str">
            <v>胡煜星</v>
          </cell>
        </row>
        <row r="249">
          <cell r="A249">
            <v>2850</v>
          </cell>
        </row>
        <row r="249">
          <cell r="C249" t="str">
            <v>王偲涵</v>
          </cell>
        </row>
        <row r="250">
          <cell r="A250">
            <v>8087</v>
          </cell>
        </row>
        <row r="250">
          <cell r="C250" t="str">
            <v>章鹏</v>
          </cell>
        </row>
        <row r="251">
          <cell r="A251">
            <v>3096</v>
          </cell>
        </row>
        <row r="251">
          <cell r="C251" t="str">
            <v>王偲涵</v>
          </cell>
        </row>
        <row r="252">
          <cell r="A252">
            <v>3118</v>
          </cell>
        </row>
        <row r="252">
          <cell r="C252" t="str">
            <v>王偲涵</v>
          </cell>
        </row>
        <row r="253">
          <cell r="A253">
            <v>3650</v>
          </cell>
        </row>
        <row r="253">
          <cell r="C253" t="str">
            <v>王偲涵</v>
          </cell>
        </row>
        <row r="254">
          <cell r="A254">
            <v>3681</v>
          </cell>
        </row>
        <row r="254">
          <cell r="C254" t="str">
            <v>王偲涵</v>
          </cell>
        </row>
        <row r="255">
          <cell r="A255">
            <v>3757</v>
          </cell>
        </row>
        <row r="255">
          <cell r="C255" t="str">
            <v>王偲涵</v>
          </cell>
        </row>
        <row r="256">
          <cell r="A256">
            <v>3584</v>
          </cell>
        </row>
        <row r="256">
          <cell r="C256" t="str">
            <v>俞东旭</v>
          </cell>
        </row>
        <row r="257">
          <cell r="A257">
            <v>3625</v>
          </cell>
        </row>
        <row r="257">
          <cell r="C257" t="str">
            <v>王偲涵</v>
          </cell>
        </row>
        <row r="258">
          <cell r="A258">
            <v>3645</v>
          </cell>
        </row>
        <row r="258">
          <cell r="C258" t="str">
            <v>王偲涵</v>
          </cell>
        </row>
        <row r="259">
          <cell r="A259">
            <v>3683</v>
          </cell>
        </row>
        <row r="259">
          <cell r="C259" t="str">
            <v>王偲涵</v>
          </cell>
        </row>
        <row r="260">
          <cell r="A260">
            <v>3684</v>
          </cell>
        </row>
        <row r="260">
          <cell r="C260" t="str">
            <v>王偲涵</v>
          </cell>
        </row>
        <row r="261">
          <cell r="A261">
            <v>3685</v>
          </cell>
        </row>
        <row r="261">
          <cell r="C261" t="str">
            <v>王偲涵</v>
          </cell>
        </row>
        <row r="262">
          <cell r="A262">
            <v>1434</v>
          </cell>
        </row>
        <row r="262">
          <cell r="C262" t="str">
            <v>张潇</v>
          </cell>
        </row>
        <row r="263">
          <cell r="A263">
            <v>3796</v>
          </cell>
        </row>
        <row r="263">
          <cell r="C263" t="str">
            <v>朱培源</v>
          </cell>
        </row>
        <row r="264">
          <cell r="A264">
            <v>4073</v>
          </cell>
        </row>
        <row r="264">
          <cell r="C264" t="str">
            <v>俞东旭</v>
          </cell>
        </row>
        <row r="265">
          <cell r="A265">
            <v>4120</v>
          </cell>
        </row>
        <row r="265">
          <cell r="C265" t="str">
            <v>朱培源</v>
          </cell>
        </row>
        <row r="266">
          <cell r="A266">
            <v>4350</v>
          </cell>
        </row>
        <row r="266">
          <cell r="C266" t="str">
            <v>王偲涵</v>
          </cell>
        </row>
        <row r="267">
          <cell r="A267">
            <v>4491</v>
          </cell>
        </row>
        <row r="267">
          <cell r="C267" t="str">
            <v>朱培源</v>
          </cell>
        </row>
        <row r="268">
          <cell r="A268">
            <v>4543</v>
          </cell>
        </row>
        <row r="268">
          <cell r="C268" t="str">
            <v>朱培源</v>
          </cell>
        </row>
        <row r="269">
          <cell r="A269">
            <v>4537</v>
          </cell>
        </row>
        <row r="269">
          <cell r="C269" t="str">
            <v>朱培源</v>
          </cell>
        </row>
        <row r="270">
          <cell r="A270">
            <v>5708</v>
          </cell>
        </row>
        <row r="270">
          <cell r="C270" t="str">
            <v>俞东旭</v>
          </cell>
        </row>
        <row r="271">
          <cell r="A271">
            <v>4267</v>
          </cell>
        </row>
        <row r="271">
          <cell r="C271" t="str">
            <v>王偲涵</v>
          </cell>
        </row>
        <row r="272">
          <cell r="A272">
            <v>4663</v>
          </cell>
        </row>
        <row r="272">
          <cell r="C272" t="str">
            <v>俞东旭</v>
          </cell>
        </row>
        <row r="273">
          <cell r="A273">
            <v>4219</v>
          </cell>
        </row>
        <row r="273">
          <cell r="C273" t="str">
            <v>王偲涵</v>
          </cell>
        </row>
        <row r="274">
          <cell r="A274">
            <v>4794</v>
          </cell>
        </row>
        <row r="274">
          <cell r="C274" t="str">
            <v>王偲涵</v>
          </cell>
        </row>
        <row r="275">
          <cell r="A275">
            <v>4756</v>
          </cell>
        </row>
        <row r="275">
          <cell r="C275" t="str">
            <v>俞东旭</v>
          </cell>
        </row>
        <row r="276">
          <cell r="A276">
            <v>3657</v>
          </cell>
        </row>
        <row r="276">
          <cell r="C276" t="str">
            <v>王偲涵</v>
          </cell>
        </row>
        <row r="277">
          <cell r="A277">
            <v>3920</v>
          </cell>
        </row>
        <row r="277">
          <cell r="C277" t="str">
            <v>王偲涵</v>
          </cell>
        </row>
        <row r="278">
          <cell r="A278">
            <v>3533</v>
          </cell>
        </row>
        <row r="278">
          <cell r="C278" t="str">
            <v>王偲涵</v>
          </cell>
        </row>
        <row r="279">
          <cell r="A279">
            <v>3608</v>
          </cell>
        </row>
        <row r="279">
          <cell r="C279" t="str">
            <v>王偲涵</v>
          </cell>
        </row>
        <row r="280">
          <cell r="A280">
            <v>3509</v>
          </cell>
        </row>
        <row r="280">
          <cell r="C280" t="str">
            <v>王偲涵</v>
          </cell>
        </row>
        <row r="281">
          <cell r="A281">
            <v>3686</v>
          </cell>
        </row>
        <row r="281">
          <cell r="C281" t="str">
            <v>王偲涵</v>
          </cell>
        </row>
        <row r="282">
          <cell r="A282">
            <v>3687</v>
          </cell>
        </row>
        <row r="282">
          <cell r="C282" t="str">
            <v>王偲涵</v>
          </cell>
        </row>
        <row r="283">
          <cell r="A283">
            <v>3760</v>
          </cell>
        </row>
        <row r="283">
          <cell r="C283" t="str">
            <v>王偲涵</v>
          </cell>
        </row>
        <row r="284">
          <cell r="A284">
            <v>3646</v>
          </cell>
        </row>
        <row r="284">
          <cell r="C284" t="str">
            <v>王偲涵</v>
          </cell>
        </row>
        <row r="285">
          <cell r="A285">
            <v>3713</v>
          </cell>
        </row>
        <row r="285">
          <cell r="C285" t="str">
            <v>王偲涵</v>
          </cell>
        </row>
        <row r="286">
          <cell r="A286">
            <v>3714</v>
          </cell>
        </row>
        <row r="286">
          <cell r="C286" t="str">
            <v>王偲涵</v>
          </cell>
        </row>
        <row r="287">
          <cell r="A287">
            <v>4534</v>
          </cell>
        </row>
        <row r="287">
          <cell r="C287" t="str">
            <v>王偲涵</v>
          </cell>
        </row>
        <row r="288">
          <cell r="A288">
            <v>3766</v>
          </cell>
        </row>
        <row r="288">
          <cell r="C288" t="str">
            <v>王偲涵</v>
          </cell>
        </row>
        <row r="289">
          <cell r="A289">
            <v>4088</v>
          </cell>
        </row>
        <row r="289">
          <cell r="C289" t="str">
            <v>王偲涵</v>
          </cell>
        </row>
        <row r="290">
          <cell r="A290">
            <v>3834</v>
          </cell>
        </row>
        <row r="290">
          <cell r="C290" t="str">
            <v>王偲涵</v>
          </cell>
        </row>
        <row r="291">
          <cell r="A291">
            <v>3555</v>
          </cell>
        </row>
        <row r="291">
          <cell r="C291" t="str">
            <v>王偲涵</v>
          </cell>
        </row>
        <row r="292">
          <cell r="A292">
            <v>3510</v>
          </cell>
        </row>
        <row r="292">
          <cell r="C292" t="str">
            <v>王偲涵</v>
          </cell>
        </row>
        <row r="293">
          <cell r="A293">
            <v>3845</v>
          </cell>
        </row>
        <row r="293">
          <cell r="C293" t="str">
            <v>王偲涵</v>
          </cell>
        </row>
        <row r="294">
          <cell r="A294">
            <v>4675</v>
          </cell>
        </row>
        <row r="294">
          <cell r="C294" t="str">
            <v>俞东旭</v>
          </cell>
        </row>
        <row r="295">
          <cell r="A295">
            <v>3846</v>
          </cell>
        </row>
        <row r="295">
          <cell r="C295" t="str">
            <v>王偲涵</v>
          </cell>
        </row>
        <row r="296">
          <cell r="A296">
            <v>4166</v>
          </cell>
        </row>
        <row r="296">
          <cell r="C296" t="str">
            <v>王偲涵</v>
          </cell>
        </row>
        <row r="297">
          <cell r="A297">
            <v>3630</v>
          </cell>
        </row>
        <row r="297">
          <cell r="C297" t="str">
            <v>转二部</v>
          </cell>
        </row>
        <row r="298">
          <cell r="A298">
            <v>4091</v>
          </cell>
        </row>
        <row r="298">
          <cell r="C298" t="str">
            <v>王偲涵</v>
          </cell>
        </row>
        <row r="299">
          <cell r="A299">
            <v>3785</v>
          </cell>
        </row>
        <row r="299">
          <cell r="C299" t="str">
            <v>王偲涵</v>
          </cell>
        </row>
        <row r="300">
          <cell r="A300">
            <v>3652</v>
          </cell>
        </row>
        <row r="300">
          <cell r="C300" t="str">
            <v>转二部</v>
          </cell>
        </row>
        <row r="301">
          <cell r="A301">
            <v>4094</v>
          </cell>
        </row>
        <row r="301">
          <cell r="C301" t="str">
            <v>王偲涵</v>
          </cell>
        </row>
        <row r="302">
          <cell r="A302">
            <v>4148</v>
          </cell>
        </row>
        <row r="302">
          <cell r="C302" t="str">
            <v>王偲涵</v>
          </cell>
        </row>
        <row r="303">
          <cell r="A303">
            <v>3715</v>
          </cell>
        </row>
        <row r="303">
          <cell r="C303" t="str">
            <v>俞东旭</v>
          </cell>
        </row>
        <row r="304">
          <cell r="A304">
            <v>5598</v>
          </cell>
        </row>
        <row r="304">
          <cell r="C304" t="str">
            <v>俞东旭</v>
          </cell>
        </row>
        <row r="305">
          <cell r="A305">
            <v>3876</v>
          </cell>
        </row>
        <row r="305">
          <cell r="C305" t="str">
            <v>王偲涵</v>
          </cell>
        </row>
        <row r="306">
          <cell r="A306">
            <v>4351</v>
          </cell>
        </row>
        <row r="306">
          <cell r="C306" t="str">
            <v>转二部</v>
          </cell>
        </row>
        <row r="307">
          <cell r="A307">
            <v>4054</v>
          </cell>
        </row>
        <row r="307">
          <cell r="C307" t="str">
            <v>转二部</v>
          </cell>
        </row>
        <row r="308">
          <cell r="A308">
            <v>5008</v>
          </cell>
        </row>
        <row r="308">
          <cell r="C308" t="str">
            <v>王偲涵</v>
          </cell>
        </row>
        <row r="309">
          <cell r="A309">
            <v>4184</v>
          </cell>
        </row>
        <row r="309">
          <cell r="C309" t="str">
            <v>王偲涵</v>
          </cell>
        </row>
        <row r="310">
          <cell r="A310">
            <v>4721</v>
          </cell>
        </row>
        <row r="310">
          <cell r="C310" t="str">
            <v>王偲涵</v>
          </cell>
        </row>
        <row r="311">
          <cell r="A311">
            <v>4482</v>
          </cell>
        </row>
        <row r="311">
          <cell r="C311" t="str">
            <v>王偲涵</v>
          </cell>
        </row>
        <row r="312">
          <cell r="A312">
            <v>4817</v>
          </cell>
        </row>
        <row r="312">
          <cell r="C312" t="str">
            <v>王偲涵</v>
          </cell>
        </row>
        <row r="313">
          <cell r="A313">
            <v>3837</v>
          </cell>
        </row>
        <row r="313">
          <cell r="C313" t="str">
            <v>王偲涵</v>
          </cell>
        </row>
        <row r="314">
          <cell r="A314">
            <v>3924</v>
          </cell>
        </row>
        <row r="314">
          <cell r="C314" t="str">
            <v>王偲涵</v>
          </cell>
        </row>
        <row r="315">
          <cell r="A315">
            <v>3799</v>
          </cell>
        </row>
        <row r="315">
          <cell r="C315" t="str">
            <v>王偲涵</v>
          </cell>
        </row>
        <row r="316">
          <cell r="A316">
            <v>4103</v>
          </cell>
        </row>
        <row r="316">
          <cell r="C316" t="str">
            <v>王偲涵</v>
          </cell>
        </row>
        <row r="317">
          <cell r="A317">
            <v>4105</v>
          </cell>
        </row>
        <row r="317">
          <cell r="C317" t="str">
            <v>俞东旭</v>
          </cell>
        </row>
        <row r="318">
          <cell r="A318">
            <v>4072</v>
          </cell>
        </row>
        <row r="318">
          <cell r="C318" t="str">
            <v>俞东旭</v>
          </cell>
        </row>
        <row r="319">
          <cell r="A319">
            <v>3926</v>
          </cell>
        </row>
        <row r="319">
          <cell r="C319" t="str">
            <v>俞东旭</v>
          </cell>
        </row>
        <row r="320">
          <cell r="A320">
            <v>4497</v>
          </cell>
        </row>
        <row r="320">
          <cell r="C320" t="str">
            <v>王偲涵</v>
          </cell>
        </row>
        <row r="321">
          <cell r="A321">
            <v>4106</v>
          </cell>
        </row>
        <row r="321">
          <cell r="C321" t="str">
            <v>王偲涵</v>
          </cell>
        </row>
        <row r="322">
          <cell r="A322">
            <v>5538</v>
          </cell>
        </row>
        <row r="322">
          <cell r="C322" t="str">
            <v>王偲涵</v>
          </cell>
        </row>
        <row r="323">
          <cell r="A323">
            <v>4765</v>
          </cell>
        </row>
        <row r="323">
          <cell r="C323" t="str">
            <v>张潇</v>
          </cell>
        </row>
        <row r="324">
          <cell r="A324">
            <v>4671</v>
          </cell>
        </row>
        <row r="324">
          <cell r="C324" t="str">
            <v>朱培源</v>
          </cell>
        </row>
        <row r="325">
          <cell r="A325">
            <v>5060</v>
          </cell>
        </row>
        <row r="325">
          <cell r="C325" t="str">
            <v>朱培源</v>
          </cell>
        </row>
        <row r="326">
          <cell r="A326">
            <v>4647</v>
          </cell>
        </row>
        <row r="326">
          <cell r="C326" t="str">
            <v>朱培源</v>
          </cell>
        </row>
        <row r="327">
          <cell r="A327">
            <v>3750</v>
          </cell>
        </row>
        <row r="327">
          <cell r="C327" t="str">
            <v>张潇</v>
          </cell>
        </row>
        <row r="328">
          <cell r="A328">
            <v>359</v>
          </cell>
        </row>
        <row r="328">
          <cell r="C328" t="str">
            <v>朱培源</v>
          </cell>
        </row>
        <row r="329">
          <cell r="A329">
            <v>10138</v>
          </cell>
        </row>
        <row r="329">
          <cell r="C329" t="str">
            <v>朱培源</v>
          </cell>
        </row>
        <row r="330">
          <cell r="A330">
            <v>4812</v>
          </cell>
        </row>
        <row r="330">
          <cell r="C330" t="str">
            <v>朱培源</v>
          </cell>
        </row>
        <row r="331">
          <cell r="A331">
            <v>4325</v>
          </cell>
        </row>
        <row r="331">
          <cell r="C331" t="str">
            <v>朱培源</v>
          </cell>
        </row>
        <row r="332">
          <cell r="A332">
            <v>5208</v>
          </cell>
        </row>
        <row r="332">
          <cell r="C332" t="str">
            <v>朱培源</v>
          </cell>
        </row>
        <row r="333">
          <cell r="A333">
            <v>5051</v>
          </cell>
        </row>
        <row r="333">
          <cell r="C333" t="str">
            <v>朱培源</v>
          </cell>
        </row>
        <row r="334">
          <cell r="A334">
            <v>8843</v>
          </cell>
        </row>
        <row r="334">
          <cell r="C334" t="str">
            <v>章鹏</v>
          </cell>
        </row>
        <row r="335">
          <cell r="A335">
            <v>4208</v>
          </cell>
        </row>
        <row r="335">
          <cell r="C335" t="str">
            <v>王偲涵</v>
          </cell>
        </row>
        <row r="336">
          <cell r="A336">
            <v>4236</v>
          </cell>
        </row>
        <row r="336">
          <cell r="C336" t="str">
            <v>王偲涵</v>
          </cell>
        </row>
        <row r="337">
          <cell r="A337">
            <v>4535</v>
          </cell>
        </row>
        <row r="337">
          <cell r="C337" t="str">
            <v>王偲涵</v>
          </cell>
        </row>
        <row r="338">
          <cell r="A338">
            <v>4505</v>
          </cell>
        </row>
        <row r="338">
          <cell r="C338" t="str">
            <v>王偲涵</v>
          </cell>
        </row>
        <row r="339">
          <cell r="A339">
            <v>4646</v>
          </cell>
        </row>
        <row r="339">
          <cell r="C339" t="str">
            <v>王偲涵</v>
          </cell>
        </row>
        <row r="340">
          <cell r="A340">
            <v>4411</v>
          </cell>
        </row>
        <row r="340">
          <cell r="C340" t="str">
            <v>俞东旭</v>
          </cell>
        </row>
        <row r="341">
          <cell r="A341">
            <v>4412</v>
          </cell>
        </row>
        <row r="341">
          <cell r="C341" t="str">
            <v>转二部</v>
          </cell>
        </row>
        <row r="342">
          <cell r="A342">
            <v>4209</v>
          </cell>
        </row>
        <row r="342">
          <cell r="C342" t="str">
            <v>王偲涵</v>
          </cell>
        </row>
        <row r="343">
          <cell r="A343">
            <v>4669</v>
          </cell>
        </row>
        <row r="343">
          <cell r="C343" t="str">
            <v>俞东旭</v>
          </cell>
        </row>
        <row r="344">
          <cell r="A344">
            <v>8543</v>
          </cell>
        </row>
        <row r="344">
          <cell r="C344" t="str">
            <v>章鹏</v>
          </cell>
        </row>
        <row r="345">
          <cell r="A345">
            <v>4280</v>
          </cell>
        </row>
        <row r="345">
          <cell r="C345" t="str">
            <v>转二部</v>
          </cell>
        </row>
        <row r="346">
          <cell r="A346">
            <v>4607</v>
          </cell>
        </row>
        <row r="346">
          <cell r="C346" t="str">
            <v>王偲涵</v>
          </cell>
        </row>
        <row r="347">
          <cell r="A347">
            <v>4611</v>
          </cell>
        </row>
        <row r="347">
          <cell r="C347" t="str">
            <v>王偲涵</v>
          </cell>
        </row>
        <row r="348">
          <cell r="A348">
            <v>4612</v>
          </cell>
        </row>
        <row r="348">
          <cell r="C348" t="str">
            <v>王偲涵</v>
          </cell>
        </row>
        <row r="349">
          <cell r="A349">
            <v>5671</v>
          </cell>
        </row>
        <row r="349">
          <cell r="C349" t="str">
            <v>王偲涵</v>
          </cell>
        </row>
        <row r="350">
          <cell r="A350">
            <v>5672</v>
          </cell>
        </row>
        <row r="350">
          <cell r="C350" t="str">
            <v>王偲涵</v>
          </cell>
        </row>
        <row r="351">
          <cell r="A351">
            <v>5061</v>
          </cell>
        </row>
        <row r="351">
          <cell r="C351" t="str">
            <v>朱培源</v>
          </cell>
        </row>
        <row r="352">
          <cell r="A352">
            <v>5834</v>
          </cell>
        </row>
        <row r="352">
          <cell r="C352" t="str">
            <v>王偲涵</v>
          </cell>
        </row>
        <row r="353">
          <cell r="A353">
            <v>5835</v>
          </cell>
        </row>
        <row r="353">
          <cell r="C353" t="str">
            <v>胡煜星</v>
          </cell>
        </row>
        <row r="354">
          <cell r="A354">
            <v>4610</v>
          </cell>
        </row>
        <row r="354">
          <cell r="C354" t="str">
            <v>王偲涵</v>
          </cell>
        </row>
        <row r="355">
          <cell r="A355">
            <v>6031</v>
          </cell>
        </row>
        <row r="355">
          <cell r="C355" t="str">
            <v>胡煜星</v>
          </cell>
        </row>
        <row r="356">
          <cell r="A356">
            <v>6033</v>
          </cell>
        </row>
        <row r="356">
          <cell r="C356" t="str">
            <v>胡煜星</v>
          </cell>
        </row>
        <row r="357">
          <cell r="A357">
            <v>5627</v>
          </cell>
        </row>
        <row r="357">
          <cell r="C357" t="str">
            <v>俞东旭</v>
          </cell>
        </row>
        <row r="358">
          <cell r="A358">
            <v>5283</v>
          </cell>
        </row>
        <row r="358">
          <cell r="C358" t="str">
            <v>朱培源</v>
          </cell>
        </row>
        <row r="359">
          <cell r="A359">
            <v>5620</v>
          </cell>
        </row>
        <row r="359">
          <cell r="C359" t="str">
            <v>胡煜星</v>
          </cell>
        </row>
        <row r="360">
          <cell r="A360">
            <v>5841</v>
          </cell>
        </row>
        <row r="360">
          <cell r="C360" t="str">
            <v>胡煜星</v>
          </cell>
        </row>
        <row r="361">
          <cell r="A361">
            <v>5630</v>
          </cell>
        </row>
        <row r="361">
          <cell r="C361" t="str">
            <v>胡煜星</v>
          </cell>
        </row>
        <row r="362">
          <cell r="A362">
            <v>5455</v>
          </cell>
        </row>
        <row r="362">
          <cell r="C362" t="str">
            <v>胡煜星</v>
          </cell>
        </row>
        <row r="363">
          <cell r="A363">
            <v>5647</v>
          </cell>
        </row>
        <row r="363">
          <cell r="C363" t="str">
            <v>胡煜星</v>
          </cell>
        </row>
        <row r="364">
          <cell r="A364">
            <v>5092</v>
          </cell>
        </row>
        <row r="364">
          <cell r="C364" t="str">
            <v>俞东旭</v>
          </cell>
        </row>
        <row r="365">
          <cell r="A365">
            <v>4282</v>
          </cell>
        </row>
        <row r="365">
          <cell r="C365" t="str">
            <v>章鹏</v>
          </cell>
        </row>
        <row r="366">
          <cell r="A366">
            <v>5336</v>
          </cell>
        </row>
        <row r="366">
          <cell r="C366" t="str">
            <v>王偲涵</v>
          </cell>
        </row>
        <row r="367">
          <cell r="A367">
            <v>5843</v>
          </cell>
        </row>
        <row r="367">
          <cell r="C367" t="str">
            <v>王偲涵</v>
          </cell>
        </row>
        <row r="368">
          <cell r="A368">
            <v>5813</v>
          </cell>
        </row>
        <row r="368">
          <cell r="C368" t="str">
            <v>王偲涵</v>
          </cell>
        </row>
        <row r="369">
          <cell r="A369">
            <v>5122</v>
          </cell>
        </row>
        <row r="369">
          <cell r="C369" t="str">
            <v>朱培源</v>
          </cell>
        </row>
        <row r="370">
          <cell r="A370">
            <v>3597</v>
          </cell>
        </row>
        <row r="370">
          <cell r="C370" t="str">
            <v>朱培源</v>
          </cell>
        </row>
        <row r="371">
          <cell r="A371">
            <v>9577</v>
          </cell>
        </row>
        <row r="371">
          <cell r="C371" t="str">
            <v>章鹏</v>
          </cell>
        </row>
        <row r="372">
          <cell r="A372">
            <v>6821</v>
          </cell>
        </row>
        <row r="372">
          <cell r="C372" t="str">
            <v>胡煜星</v>
          </cell>
        </row>
        <row r="373">
          <cell r="A373">
            <v>7636</v>
          </cell>
        </row>
        <row r="373">
          <cell r="C373" t="str">
            <v>王偲涵</v>
          </cell>
        </row>
        <row r="374">
          <cell r="A374">
            <v>6725</v>
          </cell>
        </row>
        <row r="374">
          <cell r="C374" t="str">
            <v>王偲涵</v>
          </cell>
        </row>
        <row r="375">
          <cell r="A375">
            <v>9390</v>
          </cell>
        </row>
        <row r="375">
          <cell r="C375" t="str">
            <v>章鹏</v>
          </cell>
        </row>
        <row r="376">
          <cell r="A376">
            <v>5310</v>
          </cell>
        </row>
        <row r="376">
          <cell r="C376" t="str">
            <v>章鹏</v>
          </cell>
        </row>
        <row r="377">
          <cell r="A377">
            <v>9456</v>
          </cell>
        </row>
        <row r="377">
          <cell r="C377" t="str">
            <v>章鹏</v>
          </cell>
        </row>
        <row r="378">
          <cell r="A378">
            <v>6058</v>
          </cell>
        </row>
        <row r="378">
          <cell r="C378" t="str">
            <v>俞东旭</v>
          </cell>
        </row>
        <row r="379">
          <cell r="A379">
            <v>5096</v>
          </cell>
        </row>
        <row r="379">
          <cell r="C379" t="str">
            <v>朱培源</v>
          </cell>
        </row>
        <row r="380">
          <cell r="A380">
            <v>7104</v>
          </cell>
        </row>
        <row r="380">
          <cell r="C380" t="str">
            <v>王偲涵</v>
          </cell>
        </row>
        <row r="381">
          <cell r="A381">
            <v>6681</v>
          </cell>
        </row>
        <row r="381">
          <cell r="C381" t="str">
            <v>王偲涵</v>
          </cell>
        </row>
        <row r="382">
          <cell r="A382">
            <v>9551</v>
          </cell>
        </row>
        <row r="382">
          <cell r="C382" t="str">
            <v>王偲涵</v>
          </cell>
        </row>
        <row r="383">
          <cell r="A383">
            <v>9296</v>
          </cell>
        </row>
        <row r="383">
          <cell r="C383" t="str">
            <v>王偲涵</v>
          </cell>
        </row>
        <row r="384">
          <cell r="A384">
            <v>9821</v>
          </cell>
        </row>
        <row r="384">
          <cell r="C384" t="str">
            <v>王偲涵</v>
          </cell>
        </row>
        <row r="385">
          <cell r="A385">
            <v>9174</v>
          </cell>
        </row>
        <row r="385">
          <cell r="C385" t="str">
            <v>王偲涵</v>
          </cell>
        </row>
        <row r="386">
          <cell r="A386">
            <v>8353</v>
          </cell>
        </row>
        <row r="386">
          <cell r="C386" t="str">
            <v>王偲涵</v>
          </cell>
        </row>
        <row r="387">
          <cell r="A387">
            <v>8671</v>
          </cell>
        </row>
        <row r="387">
          <cell r="C387" t="str">
            <v>王偲涵</v>
          </cell>
        </row>
        <row r="388">
          <cell r="A388">
            <v>9932</v>
          </cell>
        </row>
        <row r="388">
          <cell r="C388" t="str">
            <v>王偲涵</v>
          </cell>
        </row>
        <row r="389">
          <cell r="A389">
            <v>9806</v>
          </cell>
        </row>
        <row r="389">
          <cell r="C389" t="str">
            <v>王偲涵</v>
          </cell>
        </row>
        <row r="390">
          <cell r="A390">
            <v>9817</v>
          </cell>
        </row>
        <row r="390">
          <cell r="C390" t="str">
            <v>王偲涵</v>
          </cell>
        </row>
        <row r="391">
          <cell r="A391">
            <v>9725</v>
          </cell>
        </row>
        <row r="391">
          <cell r="C391" t="str">
            <v>王偲涵</v>
          </cell>
        </row>
        <row r="392">
          <cell r="A392">
            <v>9156</v>
          </cell>
        </row>
        <row r="392">
          <cell r="C392" t="str">
            <v>俞东旭</v>
          </cell>
        </row>
        <row r="393">
          <cell r="A393">
            <v>9358</v>
          </cell>
        </row>
        <row r="393">
          <cell r="C393" t="str">
            <v>俞东旭</v>
          </cell>
        </row>
        <row r="394">
          <cell r="A394">
            <v>9552</v>
          </cell>
        </row>
        <row r="394">
          <cell r="C394" t="str">
            <v>转二部</v>
          </cell>
        </row>
        <row r="395">
          <cell r="A395">
            <v>9258</v>
          </cell>
        </row>
        <row r="395">
          <cell r="C395" t="str">
            <v>俞东旭</v>
          </cell>
        </row>
        <row r="396">
          <cell r="A396">
            <v>8525</v>
          </cell>
        </row>
        <row r="396">
          <cell r="C396" t="str">
            <v>胡煜星</v>
          </cell>
        </row>
        <row r="397">
          <cell r="A397">
            <v>8526</v>
          </cell>
        </row>
        <row r="397">
          <cell r="C397" t="str">
            <v>胡煜星</v>
          </cell>
        </row>
        <row r="398">
          <cell r="A398">
            <v>9553</v>
          </cell>
        </row>
        <row r="398">
          <cell r="C398" t="str">
            <v>王偲涵</v>
          </cell>
        </row>
        <row r="399">
          <cell r="A399">
            <v>9776</v>
          </cell>
        </row>
        <row r="399">
          <cell r="C399" t="str">
            <v>王偲涵</v>
          </cell>
        </row>
        <row r="400">
          <cell r="A400">
            <v>9227</v>
          </cell>
        </row>
        <row r="400">
          <cell r="C400" t="str">
            <v>胡煜星</v>
          </cell>
        </row>
        <row r="401">
          <cell r="A401">
            <v>9233</v>
          </cell>
        </row>
        <row r="401">
          <cell r="C401" t="str">
            <v>胡煜星</v>
          </cell>
        </row>
        <row r="402">
          <cell r="A402">
            <v>9234</v>
          </cell>
        </row>
        <row r="402">
          <cell r="C402" t="str">
            <v>胡煜星</v>
          </cell>
        </row>
        <row r="403">
          <cell r="A403">
            <v>9228</v>
          </cell>
        </row>
        <row r="403">
          <cell r="C403" t="str">
            <v>胡煜星</v>
          </cell>
        </row>
        <row r="404">
          <cell r="A404">
            <v>8903</v>
          </cell>
        </row>
        <row r="404">
          <cell r="C404" t="str">
            <v>转二部</v>
          </cell>
        </row>
        <row r="405">
          <cell r="A405">
            <v>8899</v>
          </cell>
        </row>
        <row r="405">
          <cell r="C405" t="str">
            <v>胡煜星</v>
          </cell>
        </row>
        <row r="406">
          <cell r="A406">
            <v>8906</v>
          </cell>
        </row>
        <row r="406">
          <cell r="C406" t="str">
            <v>胡煜星</v>
          </cell>
        </row>
        <row r="407">
          <cell r="A407">
            <v>9723</v>
          </cell>
        </row>
        <row r="407">
          <cell r="C407" t="str">
            <v>胡煜星</v>
          </cell>
        </row>
        <row r="408">
          <cell r="A408">
            <v>8914</v>
          </cell>
        </row>
        <row r="408">
          <cell r="C408" t="str">
            <v>转二部</v>
          </cell>
        </row>
        <row r="409">
          <cell r="A409">
            <v>8908</v>
          </cell>
        </row>
        <row r="409">
          <cell r="C409" t="str">
            <v>胡煜星</v>
          </cell>
        </row>
        <row r="410">
          <cell r="A410">
            <v>8675</v>
          </cell>
        </row>
        <row r="410">
          <cell r="C410" t="str">
            <v>胡煜星</v>
          </cell>
        </row>
        <row r="411">
          <cell r="A411">
            <v>8984</v>
          </cell>
        </row>
        <row r="411">
          <cell r="C411" t="str">
            <v>俞东旭</v>
          </cell>
        </row>
        <row r="412">
          <cell r="A412">
            <v>9894</v>
          </cell>
        </row>
        <row r="412">
          <cell r="C412" t="str">
            <v>俞东旭</v>
          </cell>
        </row>
        <row r="413">
          <cell r="A413">
            <v>9814</v>
          </cell>
        </row>
        <row r="413">
          <cell r="C413" t="str">
            <v>俞东旭</v>
          </cell>
        </row>
        <row r="414">
          <cell r="A414">
            <v>9455</v>
          </cell>
        </row>
        <row r="414">
          <cell r="C414" t="str">
            <v>俞东旭</v>
          </cell>
        </row>
        <row r="415">
          <cell r="A415">
            <v>9581</v>
          </cell>
        </row>
        <row r="415">
          <cell r="C415" t="str">
            <v>转二部</v>
          </cell>
        </row>
        <row r="416">
          <cell r="A416">
            <v>9731</v>
          </cell>
        </row>
        <row r="416">
          <cell r="C416" t="str">
            <v>俞东旭</v>
          </cell>
        </row>
        <row r="417">
          <cell r="A417">
            <v>9732</v>
          </cell>
        </row>
        <row r="417">
          <cell r="C417" t="str">
            <v>俞东旭</v>
          </cell>
        </row>
        <row r="418">
          <cell r="A418">
            <v>7964</v>
          </cell>
        </row>
        <row r="418">
          <cell r="C418" t="str">
            <v>俞东旭</v>
          </cell>
        </row>
        <row r="419">
          <cell r="A419">
            <v>8422</v>
          </cell>
        </row>
        <row r="419">
          <cell r="C419" t="str">
            <v>俞东旭</v>
          </cell>
        </row>
        <row r="420">
          <cell r="A420">
            <v>9683</v>
          </cell>
        </row>
        <row r="420">
          <cell r="C420" t="str">
            <v>俞东旭</v>
          </cell>
        </row>
        <row r="421">
          <cell r="A421">
            <v>9375</v>
          </cell>
        </row>
        <row r="421">
          <cell r="C421" t="str">
            <v>胡煜星</v>
          </cell>
        </row>
        <row r="422">
          <cell r="A422">
            <v>9685</v>
          </cell>
        </row>
        <row r="422">
          <cell r="C422" t="str">
            <v>俞东旭</v>
          </cell>
        </row>
        <row r="423">
          <cell r="A423">
            <v>9686</v>
          </cell>
        </row>
        <row r="423">
          <cell r="C423" t="str">
            <v>俞东旭</v>
          </cell>
        </row>
        <row r="424">
          <cell r="A424">
            <v>5078</v>
          </cell>
        </row>
        <row r="424">
          <cell r="C424" t="str">
            <v>王偲涵</v>
          </cell>
        </row>
        <row r="425">
          <cell r="A425">
            <v>5077</v>
          </cell>
        </row>
        <row r="425">
          <cell r="C425" t="str">
            <v>王偲涵</v>
          </cell>
        </row>
        <row r="426">
          <cell r="A426">
            <v>9359</v>
          </cell>
        </row>
        <row r="426">
          <cell r="C426" t="str">
            <v>章鹏</v>
          </cell>
        </row>
        <row r="427">
          <cell r="A427">
            <v>5121</v>
          </cell>
        </row>
        <row r="427">
          <cell r="C427" t="str">
            <v>王偲涵</v>
          </cell>
        </row>
        <row r="428">
          <cell r="A428">
            <v>5125</v>
          </cell>
        </row>
        <row r="428">
          <cell r="C428" t="str">
            <v>朱培源</v>
          </cell>
        </row>
        <row r="429">
          <cell r="A429">
            <v>5447</v>
          </cell>
        </row>
        <row r="429">
          <cell r="C429" t="str">
            <v>章鹏</v>
          </cell>
        </row>
        <row r="430">
          <cell r="A430">
            <v>4326</v>
          </cell>
        </row>
        <row r="430">
          <cell r="C430" t="str">
            <v>王偲涵</v>
          </cell>
        </row>
        <row r="431">
          <cell r="A431">
            <v>5539</v>
          </cell>
        </row>
        <row r="431">
          <cell r="C431" t="str">
            <v>张潇</v>
          </cell>
        </row>
        <row r="432">
          <cell r="A432">
            <v>9306</v>
          </cell>
        </row>
        <row r="432">
          <cell r="C432" t="str">
            <v>章鹏</v>
          </cell>
        </row>
        <row r="433">
          <cell r="A433">
            <v>4324</v>
          </cell>
        </row>
        <row r="433">
          <cell r="C433" t="str">
            <v>朱培源</v>
          </cell>
        </row>
        <row r="434">
          <cell r="A434">
            <v>5571</v>
          </cell>
        </row>
        <row r="434">
          <cell r="C434" t="str">
            <v>章鹏</v>
          </cell>
        </row>
        <row r="435">
          <cell r="A435">
            <v>1369</v>
          </cell>
        </row>
        <row r="435">
          <cell r="C435" t="str">
            <v>朱培源</v>
          </cell>
        </row>
        <row r="436">
          <cell r="A436">
            <v>3102</v>
          </cell>
        </row>
        <row r="436">
          <cell r="C436" t="str">
            <v>朱培源</v>
          </cell>
        </row>
        <row r="437">
          <cell r="A437">
            <v>5012</v>
          </cell>
        </row>
        <row r="437">
          <cell r="C437" t="str">
            <v>朱培源</v>
          </cell>
        </row>
        <row r="438">
          <cell r="A438">
            <v>2476</v>
          </cell>
        </row>
        <row r="438">
          <cell r="C438" t="str">
            <v>转二部</v>
          </cell>
        </row>
        <row r="439">
          <cell r="A439">
            <v>5728</v>
          </cell>
        </row>
        <row r="439">
          <cell r="C439" t="str">
            <v>张潇</v>
          </cell>
        </row>
        <row r="440">
          <cell r="A440">
            <v>10127</v>
          </cell>
        </row>
        <row r="440">
          <cell r="C440" t="str">
            <v>朱培源</v>
          </cell>
        </row>
        <row r="441">
          <cell r="A441">
            <v>6162</v>
          </cell>
        </row>
        <row r="441">
          <cell r="C441" t="str">
            <v>章鹏</v>
          </cell>
        </row>
        <row r="442">
          <cell r="A442">
            <v>489</v>
          </cell>
        </row>
        <row r="442">
          <cell r="C442" t="str">
            <v>张潇</v>
          </cell>
        </row>
        <row r="443">
          <cell r="A443">
            <v>1368</v>
          </cell>
        </row>
        <row r="443">
          <cell r="C443" t="str">
            <v>朱培源</v>
          </cell>
        </row>
        <row r="444">
          <cell r="A444">
            <v>6304</v>
          </cell>
        </row>
        <row r="444">
          <cell r="C444" t="str">
            <v>转二部</v>
          </cell>
        </row>
        <row r="445">
          <cell r="A445">
            <v>5787</v>
          </cell>
        </row>
        <row r="445">
          <cell r="C445" t="str">
            <v>章鹏</v>
          </cell>
        </row>
        <row r="446">
          <cell r="A446">
            <v>5788</v>
          </cell>
        </row>
        <row r="446">
          <cell r="C446" t="str">
            <v>章鹏</v>
          </cell>
        </row>
        <row r="447">
          <cell r="A447">
            <v>6454</v>
          </cell>
        </row>
        <row r="447">
          <cell r="C447" t="str">
            <v>朱培源</v>
          </cell>
        </row>
        <row r="448">
          <cell r="A448">
            <v>8234</v>
          </cell>
        </row>
        <row r="448">
          <cell r="C448" t="str">
            <v>俞东旭</v>
          </cell>
        </row>
        <row r="449">
          <cell r="A449">
            <v>626</v>
          </cell>
        </row>
        <row r="449">
          <cell r="C449" t="str">
            <v>章鹏</v>
          </cell>
        </row>
        <row r="450">
          <cell r="A450">
            <v>10298</v>
          </cell>
        </row>
        <row r="450">
          <cell r="C450" t="str">
            <v>章鹏</v>
          </cell>
        </row>
        <row r="451">
          <cell r="A451">
            <v>8844</v>
          </cell>
        </row>
        <row r="451">
          <cell r="C451" t="str">
            <v>章鹏</v>
          </cell>
        </row>
        <row r="452">
          <cell r="A452">
            <v>4665</v>
          </cell>
        </row>
        <row r="452">
          <cell r="C452" t="str">
            <v>王偲涵</v>
          </cell>
        </row>
        <row r="453">
          <cell r="A453">
            <v>7173</v>
          </cell>
        </row>
        <row r="453">
          <cell r="C453" t="str">
            <v>章鹏</v>
          </cell>
        </row>
        <row r="454">
          <cell r="A454">
            <v>589</v>
          </cell>
        </row>
        <row r="454">
          <cell r="C454" t="str">
            <v>朱培源</v>
          </cell>
        </row>
        <row r="455">
          <cell r="A455">
            <v>10546</v>
          </cell>
        </row>
        <row r="455">
          <cell r="C455" t="str">
            <v>章鹏</v>
          </cell>
        </row>
        <row r="456">
          <cell r="A456">
            <v>7643</v>
          </cell>
        </row>
        <row r="456">
          <cell r="C456" t="str">
            <v>王偲涵</v>
          </cell>
        </row>
        <row r="457">
          <cell r="A457">
            <v>7688</v>
          </cell>
        </row>
        <row r="457">
          <cell r="C457" t="str">
            <v>王偲涵</v>
          </cell>
        </row>
        <row r="458">
          <cell r="A458">
            <v>7689</v>
          </cell>
        </row>
        <row r="458">
          <cell r="C458" t="str">
            <v>王偲涵</v>
          </cell>
        </row>
        <row r="459">
          <cell r="A459">
            <v>7893</v>
          </cell>
        </row>
        <row r="459">
          <cell r="C459" t="str">
            <v>章鹏</v>
          </cell>
        </row>
        <row r="460">
          <cell r="A460">
            <v>9362</v>
          </cell>
        </row>
        <row r="460">
          <cell r="C460" t="str">
            <v>章鹏</v>
          </cell>
        </row>
        <row r="461">
          <cell r="A461">
            <v>9733</v>
          </cell>
        </row>
        <row r="461">
          <cell r="C461" t="str">
            <v>章鹏</v>
          </cell>
        </row>
        <row r="462">
          <cell r="A462">
            <v>10920</v>
          </cell>
        </row>
        <row r="462">
          <cell r="C462" t="str">
            <v>朱培源</v>
          </cell>
        </row>
        <row r="463">
          <cell r="A463">
            <v>490</v>
          </cell>
        </row>
        <row r="463">
          <cell r="C463" t="str">
            <v>张潇</v>
          </cell>
        </row>
        <row r="464">
          <cell r="A464">
            <v>8212</v>
          </cell>
        </row>
        <row r="464">
          <cell r="C464" t="str">
            <v>章鹏</v>
          </cell>
        </row>
        <row r="465">
          <cell r="A465">
            <v>8254</v>
          </cell>
        </row>
        <row r="465">
          <cell r="C465" t="str">
            <v>张潇</v>
          </cell>
        </row>
        <row r="466">
          <cell r="A466">
            <v>8374</v>
          </cell>
        </row>
        <row r="466">
          <cell r="C466" t="str">
            <v>章鹏</v>
          </cell>
        </row>
        <row r="467">
          <cell r="A467">
            <v>8423</v>
          </cell>
        </row>
        <row r="467">
          <cell r="C467" t="str">
            <v>章鹏</v>
          </cell>
        </row>
        <row r="468">
          <cell r="A468">
            <v>10059</v>
          </cell>
        </row>
        <row r="468">
          <cell r="C468" t="str">
            <v>朱培源</v>
          </cell>
        </row>
        <row r="469">
          <cell r="A469">
            <v>8602</v>
          </cell>
        </row>
        <row r="469">
          <cell r="C469" t="str">
            <v>张潇</v>
          </cell>
        </row>
        <row r="470">
          <cell r="A470">
            <v>8533</v>
          </cell>
        </row>
        <row r="470">
          <cell r="C470" t="str">
            <v>张潇</v>
          </cell>
        </row>
        <row r="471">
          <cell r="A471">
            <v>1146</v>
          </cell>
        </row>
        <row r="471">
          <cell r="C471" t="str">
            <v>朱培源</v>
          </cell>
        </row>
        <row r="472">
          <cell r="A472">
            <v>8363</v>
          </cell>
        </row>
        <row r="472">
          <cell r="C472" t="str">
            <v>章鹏</v>
          </cell>
        </row>
        <row r="473">
          <cell r="A473">
            <v>8426</v>
          </cell>
        </row>
        <row r="473">
          <cell r="C473" t="str">
            <v>章鹏</v>
          </cell>
        </row>
        <row r="474">
          <cell r="A474">
            <v>8677</v>
          </cell>
        </row>
        <row r="474">
          <cell r="C474" t="str">
            <v>张潇</v>
          </cell>
        </row>
        <row r="475">
          <cell r="A475">
            <v>8752</v>
          </cell>
        </row>
        <row r="475">
          <cell r="C475" t="str">
            <v>章鹏</v>
          </cell>
        </row>
        <row r="476">
          <cell r="A476">
            <v>3452</v>
          </cell>
        </row>
        <row r="476">
          <cell r="C476" t="str">
            <v>张潇</v>
          </cell>
        </row>
        <row r="477">
          <cell r="A477">
            <v>3231</v>
          </cell>
        </row>
        <row r="477">
          <cell r="C477" t="str">
            <v>朱培源</v>
          </cell>
        </row>
        <row r="478">
          <cell r="A478">
            <v>8083</v>
          </cell>
        </row>
        <row r="478">
          <cell r="C478" t="str">
            <v>章鹏</v>
          </cell>
        </row>
        <row r="479">
          <cell r="A479">
            <v>8542</v>
          </cell>
        </row>
        <row r="479">
          <cell r="C479" t="str">
            <v>章鹏</v>
          </cell>
        </row>
        <row r="480">
          <cell r="A480">
            <v>4435</v>
          </cell>
        </row>
        <row r="480">
          <cell r="C480" t="str">
            <v>王偲涵</v>
          </cell>
        </row>
        <row r="481">
          <cell r="A481">
            <v>421</v>
          </cell>
        </row>
        <row r="481">
          <cell r="C481" t="str">
            <v>朱培源</v>
          </cell>
        </row>
        <row r="482">
          <cell r="A482">
            <v>10060</v>
          </cell>
        </row>
        <row r="482">
          <cell r="C482" t="str">
            <v>朱培源</v>
          </cell>
        </row>
        <row r="483">
          <cell r="A483">
            <v>8603</v>
          </cell>
        </row>
        <row r="483">
          <cell r="C483" t="str">
            <v>章鹏</v>
          </cell>
        </row>
        <row r="484">
          <cell r="A484">
            <v>8611</v>
          </cell>
        </row>
        <row r="484">
          <cell r="C484" t="str">
            <v>章鹏</v>
          </cell>
        </row>
        <row r="485">
          <cell r="A485">
            <v>8612</v>
          </cell>
        </row>
        <row r="485">
          <cell r="C485" t="str">
            <v>章鹏</v>
          </cell>
        </row>
        <row r="486">
          <cell r="A486">
            <v>9284</v>
          </cell>
        </row>
        <row r="486">
          <cell r="C486" t="str">
            <v>章鹏</v>
          </cell>
        </row>
        <row r="487">
          <cell r="A487">
            <v>8678</v>
          </cell>
        </row>
        <row r="487">
          <cell r="C487" t="str">
            <v>章鹏</v>
          </cell>
        </row>
        <row r="488">
          <cell r="A488">
            <v>8679</v>
          </cell>
        </row>
        <row r="488">
          <cell r="C488" t="str">
            <v>章鹏</v>
          </cell>
        </row>
        <row r="489">
          <cell r="A489">
            <v>8680</v>
          </cell>
        </row>
        <row r="489">
          <cell r="C489" t="str">
            <v>章鹏</v>
          </cell>
        </row>
        <row r="490">
          <cell r="A490">
            <v>8681</v>
          </cell>
        </row>
        <row r="490">
          <cell r="C490" t="str">
            <v>章鹏</v>
          </cell>
        </row>
        <row r="491">
          <cell r="A491">
            <v>8686</v>
          </cell>
        </row>
        <row r="491">
          <cell r="C491" t="str">
            <v>章鹏</v>
          </cell>
        </row>
        <row r="492">
          <cell r="A492">
            <v>8687</v>
          </cell>
        </row>
        <row r="492">
          <cell r="C492" t="str">
            <v>章鹏</v>
          </cell>
        </row>
        <row r="493">
          <cell r="A493">
            <v>8605</v>
          </cell>
        </row>
        <row r="493">
          <cell r="C493" t="str">
            <v>章鹏</v>
          </cell>
        </row>
        <row r="494">
          <cell r="A494">
            <v>8609</v>
          </cell>
        </row>
        <row r="494">
          <cell r="C494" t="str">
            <v>章鹏</v>
          </cell>
        </row>
        <row r="495">
          <cell r="A495">
            <v>8610</v>
          </cell>
        </row>
        <row r="495">
          <cell r="C495" t="str">
            <v>章鹏</v>
          </cell>
        </row>
        <row r="496">
          <cell r="A496">
            <v>8684</v>
          </cell>
        </row>
        <row r="496">
          <cell r="C496" t="str">
            <v>章鹏</v>
          </cell>
        </row>
        <row r="497">
          <cell r="A497">
            <v>10894</v>
          </cell>
        </row>
        <row r="497">
          <cell r="C497" t="str">
            <v>张潇</v>
          </cell>
        </row>
        <row r="498">
          <cell r="A498">
            <v>9388</v>
          </cell>
        </row>
        <row r="498">
          <cell r="C498" t="str">
            <v>章鹏</v>
          </cell>
        </row>
        <row r="499">
          <cell r="A499">
            <v>9439</v>
          </cell>
        </row>
        <row r="499">
          <cell r="C499" t="str">
            <v>章鹏</v>
          </cell>
        </row>
        <row r="500">
          <cell r="A500">
            <v>6288</v>
          </cell>
        </row>
        <row r="500">
          <cell r="C500" t="str">
            <v>张潇</v>
          </cell>
        </row>
        <row r="501">
          <cell r="A501">
            <v>6762</v>
          </cell>
        </row>
        <row r="501">
          <cell r="C501" t="str">
            <v>朱培源</v>
          </cell>
        </row>
        <row r="502">
          <cell r="A502">
            <v>9171</v>
          </cell>
        </row>
        <row r="502">
          <cell r="C502" t="str">
            <v>章鹏</v>
          </cell>
        </row>
        <row r="503">
          <cell r="A503">
            <v>9117</v>
          </cell>
        </row>
        <row r="503">
          <cell r="C503" t="str">
            <v>章鹏</v>
          </cell>
        </row>
        <row r="504">
          <cell r="A504">
            <v>9084</v>
          </cell>
        </row>
        <row r="504">
          <cell r="C504" t="str">
            <v>张潇</v>
          </cell>
        </row>
        <row r="505">
          <cell r="A505">
            <v>8988</v>
          </cell>
        </row>
        <row r="505">
          <cell r="C505" t="str">
            <v>章鹏</v>
          </cell>
        </row>
        <row r="506">
          <cell r="A506">
            <v>8960</v>
          </cell>
        </row>
        <row r="506">
          <cell r="C506" t="str">
            <v>章鹏</v>
          </cell>
        </row>
        <row r="507">
          <cell r="A507">
            <v>10464</v>
          </cell>
        </row>
        <row r="507">
          <cell r="C507" t="str">
            <v>章鹏</v>
          </cell>
        </row>
        <row r="508">
          <cell r="A508">
            <v>9064</v>
          </cell>
        </row>
        <row r="508">
          <cell r="C508" t="str">
            <v>章鹏</v>
          </cell>
        </row>
        <row r="509">
          <cell r="A509">
            <v>9065</v>
          </cell>
        </row>
        <row r="509">
          <cell r="C509" t="str">
            <v>章鹏</v>
          </cell>
        </row>
        <row r="510">
          <cell r="A510">
            <v>11064</v>
          </cell>
        </row>
        <row r="510">
          <cell r="C510" t="str">
            <v>章鹏</v>
          </cell>
        </row>
        <row r="511">
          <cell r="A511">
            <v>432</v>
          </cell>
        </row>
        <row r="511">
          <cell r="C511" t="str">
            <v>朱培源</v>
          </cell>
        </row>
        <row r="512">
          <cell r="A512">
            <v>260</v>
          </cell>
        </row>
        <row r="512">
          <cell r="C512" t="str">
            <v>朱培源</v>
          </cell>
        </row>
        <row r="513">
          <cell r="A513">
            <v>10061</v>
          </cell>
        </row>
        <row r="513">
          <cell r="C513" t="str">
            <v>朱培源</v>
          </cell>
        </row>
        <row r="514">
          <cell r="A514">
            <v>10414</v>
          </cell>
        </row>
        <row r="514">
          <cell r="C514" t="str">
            <v>转二部</v>
          </cell>
        </row>
        <row r="515">
          <cell r="A515">
            <v>1370</v>
          </cell>
        </row>
        <row r="515">
          <cell r="C515" t="str">
            <v>章鹏</v>
          </cell>
        </row>
        <row r="516">
          <cell r="A516">
            <v>9391</v>
          </cell>
        </row>
        <row r="516">
          <cell r="C516" t="str">
            <v>胡煜星</v>
          </cell>
        </row>
        <row r="517">
          <cell r="A517">
            <v>9173</v>
          </cell>
        </row>
        <row r="517">
          <cell r="C517" t="str">
            <v>章鹏</v>
          </cell>
        </row>
        <row r="518">
          <cell r="A518">
            <v>8900</v>
          </cell>
        </row>
        <row r="518">
          <cell r="C518" t="str">
            <v>胡煜星</v>
          </cell>
        </row>
        <row r="519">
          <cell r="A519">
            <v>9113</v>
          </cell>
        </row>
        <row r="519">
          <cell r="C519" t="str">
            <v>张潇</v>
          </cell>
        </row>
        <row r="520">
          <cell r="A520">
            <v>9114</v>
          </cell>
        </row>
        <row r="520">
          <cell r="C520" t="str">
            <v>张潇</v>
          </cell>
        </row>
        <row r="521">
          <cell r="A521">
            <v>9115</v>
          </cell>
        </row>
        <row r="521">
          <cell r="C521" t="str">
            <v>张潇</v>
          </cell>
        </row>
        <row r="522">
          <cell r="A522">
            <v>9112</v>
          </cell>
        </row>
        <row r="522">
          <cell r="C522" t="str">
            <v>张潇</v>
          </cell>
        </row>
        <row r="523">
          <cell r="A523">
            <v>9361</v>
          </cell>
        </row>
        <row r="523">
          <cell r="C523" t="str">
            <v>章鹏</v>
          </cell>
        </row>
        <row r="524">
          <cell r="A524">
            <v>9116</v>
          </cell>
        </row>
        <row r="524">
          <cell r="C524" t="str">
            <v>章鹏</v>
          </cell>
        </row>
        <row r="525">
          <cell r="A525">
            <v>9035</v>
          </cell>
        </row>
        <row r="525">
          <cell r="C525" t="str">
            <v>张潇</v>
          </cell>
        </row>
        <row r="526">
          <cell r="A526">
            <v>8986</v>
          </cell>
        </row>
        <row r="526">
          <cell r="C526" t="str">
            <v>张潇</v>
          </cell>
        </row>
        <row r="527">
          <cell r="A527">
            <v>9008</v>
          </cell>
        </row>
        <row r="527">
          <cell r="C527" t="str">
            <v>章鹏</v>
          </cell>
        </row>
        <row r="528">
          <cell r="A528">
            <v>5212</v>
          </cell>
        </row>
        <row r="528">
          <cell r="C528" t="str">
            <v>朱培源</v>
          </cell>
        </row>
        <row r="529">
          <cell r="A529">
            <v>1286</v>
          </cell>
        </row>
        <row r="529">
          <cell r="C529" t="str">
            <v>王偲涵</v>
          </cell>
        </row>
        <row r="530">
          <cell r="A530">
            <v>839</v>
          </cell>
        </row>
        <row r="530">
          <cell r="C530" t="str">
            <v>朱培源</v>
          </cell>
        </row>
        <row r="531">
          <cell r="A531">
            <v>2547</v>
          </cell>
        </row>
        <row r="531">
          <cell r="C531" t="str">
            <v>朱培源</v>
          </cell>
        </row>
        <row r="532">
          <cell r="A532">
            <v>8840</v>
          </cell>
        </row>
        <row r="532">
          <cell r="C532" t="str">
            <v>章鹏</v>
          </cell>
        </row>
        <row r="533">
          <cell r="A533">
            <v>9302</v>
          </cell>
        </row>
        <row r="533">
          <cell r="C533" t="str">
            <v>章鹏</v>
          </cell>
        </row>
        <row r="534">
          <cell r="A534">
            <v>9304</v>
          </cell>
        </row>
        <row r="534">
          <cell r="C534" t="str">
            <v>章鹏</v>
          </cell>
        </row>
        <row r="535">
          <cell r="A535">
            <v>10470</v>
          </cell>
        </row>
        <row r="535">
          <cell r="C535" t="str">
            <v>转二部</v>
          </cell>
        </row>
        <row r="536">
          <cell r="A536">
            <v>9558</v>
          </cell>
        </row>
        <row r="536">
          <cell r="C536" t="str">
            <v>章鹏</v>
          </cell>
        </row>
        <row r="537">
          <cell r="A537">
            <v>8993</v>
          </cell>
        </row>
        <row r="537">
          <cell r="C537" t="str">
            <v>章鹏</v>
          </cell>
        </row>
        <row r="538">
          <cell r="A538">
            <v>9160</v>
          </cell>
        </row>
        <row r="538">
          <cell r="C538" t="str">
            <v>章鹏</v>
          </cell>
        </row>
        <row r="539">
          <cell r="A539">
            <v>9698</v>
          </cell>
        </row>
        <row r="539">
          <cell r="C539" t="str">
            <v>章鹏</v>
          </cell>
        </row>
        <row r="540">
          <cell r="A540">
            <v>9389</v>
          </cell>
        </row>
        <row r="540">
          <cell r="C540" t="str">
            <v>章鹏</v>
          </cell>
        </row>
        <row r="541">
          <cell r="A541">
            <v>5441</v>
          </cell>
        </row>
        <row r="541">
          <cell r="C541" t="str">
            <v>朱培源</v>
          </cell>
        </row>
        <row r="542">
          <cell r="A542">
            <v>8082</v>
          </cell>
        </row>
        <row r="542">
          <cell r="C542" t="str">
            <v>章鹏</v>
          </cell>
        </row>
        <row r="543">
          <cell r="A543">
            <v>9492</v>
          </cell>
        </row>
        <row r="543">
          <cell r="C543" t="str">
            <v>章鹏</v>
          </cell>
        </row>
        <row r="544">
          <cell r="A544">
            <v>9316</v>
          </cell>
        </row>
        <row r="544">
          <cell r="C544" t="str">
            <v>章鹏</v>
          </cell>
        </row>
        <row r="545">
          <cell r="A545">
            <v>9364</v>
          </cell>
        </row>
        <row r="545">
          <cell r="C545" t="str">
            <v>章鹏</v>
          </cell>
        </row>
        <row r="546">
          <cell r="A546">
            <v>8985</v>
          </cell>
        </row>
        <row r="546">
          <cell r="C546" t="str">
            <v>张潇</v>
          </cell>
        </row>
        <row r="547">
          <cell r="A547">
            <v>9386</v>
          </cell>
        </row>
        <row r="547">
          <cell r="C547" t="str">
            <v>张潇</v>
          </cell>
        </row>
        <row r="548">
          <cell r="A548">
            <v>9387</v>
          </cell>
        </row>
        <row r="548">
          <cell r="C548" t="str">
            <v>张潇</v>
          </cell>
        </row>
        <row r="549">
          <cell r="A549">
            <v>8364</v>
          </cell>
        </row>
        <row r="549">
          <cell r="C549" t="str">
            <v>章鹏</v>
          </cell>
        </row>
        <row r="550">
          <cell r="A550">
            <v>10906</v>
          </cell>
        </row>
        <row r="550">
          <cell r="C550" t="str">
            <v>转二部</v>
          </cell>
        </row>
        <row r="551">
          <cell r="A551">
            <v>10144</v>
          </cell>
        </row>
        <row r="551">
          <cell r="C551" t="str">
            <v>转二部</v>
          </cell>
        </row>
        <row r="552">
          <cell r="A552">
            <v>9559</v>
          </cell>
        </row>
        <row r="552">
          <cell r="C552" t="str">
            <v>转二部</v>
          </cell>
        </row>
        <row r="553">
          <cell r="A553">
            <v>9445</v>
          </cell>
        </row>
        <row r="553">
          <cell r="C553" t="str">
            <v>章鹏</v>
          </cell>
        </row>
        <row r="554">
          <cell r="A554">
            <v>8944</v>
          </cell>
        </row>
        <row r="554">
          <cell r="C554" t="str">
            <v>章鹏</v>
          </cell>
        </row>
        <row r="555">
          <cell r="A555">
            <v>9481</v>
          </cell>
        </row>
        <row r="555">
          <cell r="C555" t="str">
            <v>张潇</v>
          </cell>
        </row>
        <row r="556">
          <cell r="A556">
            <v>3759</v>
          </cell>
        </row>
        <row r="556">
          <cell r="C556" t="str">
            <v>朱培源</v>
          </cell>
        </row>
        <row r="557">
          <cell r="A557">
            <v>9490</v>
          </cell>
        </row>
        <row r="557">
          <cell r="C557" t="str">
            <v>张潇</v>
          </cell>
        </row>
        <row r="558">
          <cell r="A558">
            <v>3776</v>
          </cell>
        </row>
        <row r="558">
          <cell r="C558" t="str">
            <v>胡煜星</v>
          </cell>
        </row>
        <row r="559">
          <cell r="A559">
            <v>9446</v>
          </cell>
        </row>
        <row r="559">
          <cell r="C559" t="str">
            <v>章鹏</v>
          </cell>
        </row>
        <row r="560">
          <cell r="A560">
            <v>9172</v>
          </cell>
        </row>
        <row r="560">
          <cell r="C560" t="str">
            <v>章鹏</v>
          </cell>
        </row>
        <row r="561">
          <cell r="A561">
            <v>9068</v>
          </cell>
        </row>
        <row r="561">
          <cell r="C561" t="str">
            <v>章鹏</v>
          </cell>
        </row>
        <row r="562">
          <cell r="A562">
            <v>9499</v>
          </cell>
        </row>
        <row r="562">
          <cell r="C562" t="str">
            <v>章鹏</v>
          </cell>
        </row>
        <row r="563">
          <cell r="A563">
            <v>9500</v>
          </cell>
        </row>
        <row r="563">
          <cell r="C563" t="str">
            <v>章鹏</v>
          </cell>
        </row>
        <row r="564">
          <cell r="A564">
            <v>9501</v>
          </cell>
        </row>
        <row r="564">
          <cell r="C564" t="str">
            <v>章鹏</v>
          </cell>
        </row>
        <row r="565">
          <cell r="A565">
            <v>1473</v>
          </cell>
        </row>
        <row r="565">
          <cell r="C565" t="str">
            <v>朱培源</v>
          </cell>
        </row>
        <row r="566">
          <cell r="A566">
            <v>8841</v>
          </cell>
        </row>
        <row r="566">
          <cell r="C566" t="str">
            <v>章鹏</v>
          </cell>
        </row>
        <row r="567">
          <cell r="A567">
            <v>9540</v>
          </cell>
        </row>
        <row r="567">
          <cell r="C567" t="str">
            <v>章鹏</v>
          </cell>
        </row>
        <row r="568">
          <cell r="A568">
            <v>9495</v>
          </cell>
        </row>
        <row r="568">
          <cell r="C568" t="str">
            <v>章鹏</v>
          </cell>
        </row>
        <row r="569">
          <cell r="A569">
            <v>9584</v>
          </cell>
        </row>
        <row r="569">
          <cell r="C569" t="str">
            <v>章鹏</v>
          </cell>
        </row>
        <row r="570">
          <cell r="A570">
            <v>9605</v>
          </cell>
        </row>
        <row r="570">
          <cell r="C570" t="str">
            <v>章鹏</v>
          </cell>
        </row>
        <row r="571">
          <cell r="A571">
            <v>9606</v>
          </cell>
        </row>
        <row r="571">
          <cell r="C571" t="str">
            <v>章鹏</v>
          </cell>
        </row>
        <row r="572">
          <cell r="A572">
            <v>9645</v>
          </cell>
        </row>
        <row r="572">
          <cell r="C572" t="str">
            <v>章鹏</v>
          </cell>
        </row>
        <row r="573">
          <cell r="A573">
            <v>9159</v>
          </cell>
        </row>
        <row r="573">
          <cell r="C573" t="str">
            <v>章鹏</v>
          </cell>
        </row>
        <row r="574">
          <cell r="A574">
            <v>5611</v>
          </cell>
        </row>
        <row r="574">
          <cell r="C574" t="str">
            <v>俞东旭</v>
          </cell>
        </row>
        <row r="575">
          <cell r="A575">
            <v>6906</v>
          </cell>
        </row>
        <row r="575">
          <cell r="C575" t="str">
            <v>俞东旭</v>
          </cell>
        </row>
        <row r="576">
          <cell r="A576">
            <v>6907</v>
          </cell>
        </row>
        <row r="576">
          <cell r="C576" t="str">
            <v>俞东旭</v>
          </cell>
        </row>
        <row r="577">
          <cell r="A577">
            <v>6872</v>
          </cell>
        </row>
        <row r="577">
          <cell r="C577" t="str">
            <v>俞东旭</v>
          </cell>
        </row>
        <row r="578">
          <cell r="A578">
            <v>6873</v>
          </cell>
        </row>
        <row r="578">
          <cell r="C578" t="str">
            <v>俞东旭</v>
          </cell>
        </row>
        <row r="579">
          <cell r="A579">
            <v>6908</v>
          </cell>
        </row>
        <row r="579">
          <cell r="C579" t="str">
            <v>俞东旭</v>
          </cell>
        </row>
        <row r="580">
          <cell r="A580">
            <v>6909</v>
          </cell>
        </row>
        <row r="580">
          <cell r="C580" t="str">
            <v>俞东旭</v>
          </cell>
        </row>
        <row r="581">
          <cell r="A581">
            <v>6910</v>
          </cell>
        </row>
        <row r="581">
          <cell r="C581" t="str">
            <v>俞东旭</v>
          </cell>
        </row>
        <row r="582">
          <cell r="A582">
            <v>6911</v>
          </cell>
        </row>
        <row r="582">
          <cell r="C582" t="str">
            <v>俞东旭</v>
          </cell>
        </row>
        <row r="583">
          <cell r="A583">
            <v>6912</v>
          </cell>
        </row>
        <row r="583">
          <cell r="C583" t="str">
            <v>俞东旭</v>
          </cell>
        </row>
        <row r="584">
          <cell r="A584">
            <v>6913</v>
          </cell>
        </row>
        <row r="584">
          <cell r="C584" t="str">
            <v>俞东旭</v>
          </cell>
        </row>
        <row r="585">
          <cell r="A585">
            <v>6914</v>
          </cell>
        </row>
        <row r="585">
          <cell r="C585" t="str">
            <v>俞东旭</v>
          </cell>
        </row>
        <row r="586">
          <cell r="A586">
            <v>6915</v>
          </cell>
        </row>
        <row r="586">
          <cell r="C586" t="str">
            <v>俞东旭</v>
          </cell>
        </row>
        <row r="587">
          <cell r="A587">
            <v>7189</v>
          </cell>
        </row>
        <row r="587">
          <cell r="C587" t="str">
            <v>俞东旭</v>
          </cell>
        </row>
        <row r="588">
          <cell r="A588">
            <v>7190</v>
          </cell>
        </row>
        <row r="588">
          <cell r="C588" t="str">
            <v>俞东旭</v>
          </cell>
        </row>
        <row r="589">
          <cell r="A589">
            <v>7314</v>
          </cell>
        </row>
        <row r="589">
          <cell r="C589" t="str">
            <v>俞东旭</v>
          </cell>
        </row>
        <row r="590">
          <cell r="A590">
            <v>7315</v>
          </cell>
        </row>
        <row r="590">
          <cell r="C590" t="str">
            <v>俞东旭</v>
          </cell>
        </row>
        <row r="591">
          <cell r="A591">
            <v>7248</v>
          </cell>
        </row>
        <row r="591">
          <cell r="C591" t="str">
            <v>俞东旭</v>
          </cell>
        </row>
        <row r="592">
          <cell r="A592">
            <v>7316</v>
          </cell>
        </row>
        <row r="592">
          <cell r="C592" t="str">
            <v>俞东旭</v>
          </cell>
        </row>
        <row r="593">
          <cell r="A593">
            <v>7317</v>
          </cell>
        </row>
        <row r="593">
          <cell r="C593" t="str">
            <v>俞东旭</v>
          </cell>
        </row>
        <row r="594">
          <cell r="A594">
            <v>7249</v>
          </cell>
        </row>
        <row r="594">
          <cell r="C594" t="str">
            <v>俞东旭</v>
          </cell>
        </row>
        <row r="595">
          <cell r="A595">
            <v>7250</v>
          </cell>
        </row>
        <row r="595">
          <cell r="C595" t="str">
            <v>俞东旭</v>
          </cell>
        </row>
        <row r="596">
          <cell r="A596">
            <v>7318</v>
          </cell>
        </row>
        <row r="596">
          <cell r="C596" t="str">
            <v>俞东旭</v>
          </cell>
        </row>
        <row r="597">
          <cell r="A597">
            <v>7319</v>
          </cell>
        </row>
        <row r="597">
          <cell r="C597" t="str">
            <v>俞东旭</v>
          </cell>
        </row>
        <row r="598">
          <cell r="A598">
            <v>7348</v>
          </cell>
        </row>
        <row r="598">
          <cell r="C598" t="str">
            <v>俞东旭</v>
          </cell>
        </row>
        <row r="599">
          <cell r="A599">
            <v>7349</v>
          </cell>
        </row>
        <row r="599">
          <cell r="C599" t="str">
            <v>俞东旭</v>
          </cell>
        </row>
        <row r="600">
          <cell r="A600">
            <v>7193</v>
          </cell>
        </row>
        <row r="600">
          <cell r="C600" t="str">
            <v>俞东旭</v>
          </cell>
        </row>
        <row r="601">
          <cell r="A601">
            <v>7194</v>
          </cell>
        </row>
        <row r="601">
          <cell r="C601" t="str">
            <v>俞东旭</v>
          </cell>
        </row>
        <row r="602">
          <cell r="A602">
            <v>7421</v>
          </cell>
        </row>
        <row r="602">
          <cell r="C602" t="str">
            <v>俞东旭</v>
          </cell>
        </row>
        <row r="603">
          <cell r="A603">
            <v>7422</v>
          </cell>
        </row>
        <row r="603">
          <cell r="C603" t="str">
            <v>俞东旭</v>
          </cell>
        </row>
        <row r="604">
          <cell r="A604">
            <v>7251</v>
          </cell>
        </row>
        <row r="604">
          <cell r="C604" t="str">
            <v>俞东旭</v>
          </cell>
        </row>
        <row r="605">
          <cell r="A605">
            <v>7252</v>
          </cell>
        </row>
        <row r="605">
          <cell r="C605" t="str">
            <v>俞东旭</v>
          </cell>
        </row>
        <row r="606">
          <cell r="A606">
            <v>7195</v>
          </cell>
        </row>
        <row r="606">
          <cell r="C606" t="str">
            <v>俞东旭</v>
          </cell>
        </row>
        <row r="607">
          <cell r="A607">
            <v>7196</v>
          </cell>
        </row>
        <row r="607">
          <cell r="C607" t="str">
            <v>俞东旭</v>
          </cell>
        </row>
        <row r="608">
          <cell r="A608">
            <v>8196</v>
          </cell>
        </row>
        <row r="608">
          <cell r="C608" t="str">
            <v>俞东旭</v>
          </cell>
        </row>
        <row r="609">
          <cell r="A609">
            <v>8125</v>
          </cell>
        </row>
        <row r="609">
          <cell r="C609" t="str">
            <v>俞东旭</v>
          </cell>
        </row>
        <row r="610">
          <cell r="A610">
            <v>8392</v>
          </cell>
        </row>
        <row r="610">
          <cell r="C610" t="str">
            <v>俞东旭</v>
          </cell>
        </row>
        <row r="611">
          <cell r="A611">
            <v>8757</v>
          </cell>
        </row>
        <row r="611">
          <cell r="C611" t="str">
            <v>胡煜星</v>
          </cell>
        </row>
        <row r="612">
          <cell r="A612">
            <v>8758</v>
          </cell>
        </row>
        <row r="612">
          <cell r="C612" t="str">
            <v>胡煜星</v>
          </cell>
        </row>
        <row r="613">
          <cell r="A613">
            <v>8759</v>
          </cell>
        </row>
        <row r="613">
          <cell r="C613" t="str">
            <v>胡煜星</v>
          </cell>
        </row>
        <row r="614">
          <cell r="A614">
            <v>8760</v>
          </cell>
        </row>
        <row r="614">
          <cell r="C614" t="str">
            <v>胡煜星</v>
          </cell>
        </row>
        <row r="615">
          <cell r="A615">
            <v>9649</v>
          </cell>
        </row>
        <row r="615">
          <cell r="C615" t="str">
            <v>胡煜星</v>
          </cell>
        </row>
        <row r="616">
          <cell r="A616">
            <v>9885</v>
          </cell>
        </row>
        <row r="616">
          <cell r="C616" t="str">
            <v>转二部</v>
          </cell>
        </row>
        <row r="617">
          <cell r="A617">
            <v>9650</v>
          </cell>
        </row>
        <row r="617">
          <cell r="C617" t="str">
            <v>胡煜星</v>
          </cell>
        </row>
        <row r="618">
          <cell r="A618">
            <v>9165</v>
          </cell>
        </row>
        <row r="618">
          <cell r="C618" t="str">
            <v>胡煜星</v>
          </cell>
        </row>
        <row r="619">
          <cell r="A619">
            <v>9166</v>
          </cell>
        </row>
        <row r="619">
          <cell r="C619" t="str">
            <v>转二部</v>
          </cell>
        </row>
        <row r="620">
          <cell r="A620">
            <v>9121</v>
          </cell>
        </row>
        <row r="620">
          <cell r="C620" t="str">
            <v>胡煜星</v>
          </cell>
        </row>
        <row r="621">
          <cell r="A621">
            <v>9901</v>
          </cell>
        </row>
        <row r="621">
          <cell r="C621" t="str">
            <v>胡煜星</v>
          </cell>
        </row>
        <row r="622">
          <cell r="A622">
            <v>9895</v>
          </cell>
        </row>
        <row r="622">
          <cell r="C622" t="str">
            <v>胡煜星</v>
          </cell>
        </row>
        <row r="623">
          <cell r="A623">
            <v>8116</v>
          </cell>
        </row>
        <row r="623">
          <cell r="C623" t="str">
            <v>胡煜星</v>
          </cell>
        </row>
        <row r="624">
          <cell r="A624">
            <v>9623</v>
          </cell>
        </row>
        <row r="624">
          <cell r="C624" t="str">
            <v>转二部</v>
          </cell>
        </row>
        <row r="625">
          <cell r="A625">
            <v>8727</v>
          </cell>
        </row>
        <row r="625">
          <cell r="C625" t="str">
            <v>胡煜星</v>
          </cell>
        </row>
        <row r="626">
          <cell r="A626">
            <v>8845</v>
          </cell>
        </row>
        <row r="626">
          <cell r="C626" t="str">
            <v>胡煜星</v>
          </cell>
        </row>
        <row r="627">
          <cell r="A627">
            <v>9513</v>
          </cell>
        </row>
        <row r="627">
          <cell r="C627" t="str">
            <v>胡煜星</v>
          </cell>
        </row>
        <row r="628">
          <cell r="A628">
            <v>9625</v>
          </cell>
        </row>
        <row r="628">
          <cell r="C628" t="str">
            <v>胡煜星</v>
          </cell>
        </row>
        <row r="629">
          <cell r="A629">
            <v>8847</v>
          </cell>
        </row>
        <row r="629">
          <cell r="C629" t="str">
            <v>胡煜星</v>
          </cell>
        </row>
        <row r="630">
          <cell r="A630">
            <v>8848</v>
          </cell>
        </row>
        <row r="630">
          <cell r="C630" t="str">
            <v>胡煜星</v>
          </cell>
        </row>
        <row r="631">
          <cell r="A631">
            <v>9514</v>
          </cell>
        </row>
        <row r="631">
          <cell r="C631" t="str">
            <v>胡煜星</v>
          </cell>
        </row>
        <row r="632">
          <cell r="A632">
            <v>8437</v>
          </cell>
        </row>
        <row r="632">
          <cell r="C632" t="str">
            <v>胡煜星</v>
          </cell>
        </row>
        <row r="633">
          <cell r="A633">
            <v>8766</v>
          </cell>
        </row>
        <row r="633">
          <cell r="C633" t="str">
            <v>胡煜星</v>
          </cell>
        </row>
        <row r="634">
          <cell r="A634">
            <v>8767</v>
          </cell>
        </row>
        <row r="634">
          <cell r="C634" t="str">
            <v>胡煜星</v>
          </cell>
        </row>
        <row r="635">
          <cell r="A635">
            <v>8768</v>
          </cell>
        </row>
        <row r="635">
          <cell r="C635" t="str">
            <v>胡煜星</v>
          </cell>
        </row>
        <row r="636">
          <cell r="A636">
            <v>8769</v>
          </cell>
        </row>
        <row r="636">
          <cell r="C636" t="str">
            <v>胡煜星</v>
          </cell>
        </row>
        <row r="637">
          <cell r="A637">
            <v>8696</v>
          </cell>
        </row>
        <row r="637">
          <cell r="C637" t="str">
            <v>转二部</v>
          </cell>
        </row>
        <row r="638">
          <cell r="A638">
            <v>8697</v>
          </cell>
        </row>
        <row r="638">
          <cell r="C638" t="str">
            <v>胡煜星</v>
          </cell>
        </row>
        <row r="639">
          <cell r="A639">
            <v>8849</v>
          </cell>
        </row>
        <row r="639">
          <cell r="C639" t="str">
            <v>胡煜星</v>
          </cell>
        </row>
        <row r="640">
          <cell r="A640">
            <v>8850</v>
          </cell>
        </row>
        <row r="640">
          <cell r="C640" t="str">
            <v>胡煜星</v>
          </cell>
        </row>
        <row r="641">
          <cell r="A641">
            <v>8851</v>
          </cell>
        </row>
        <row r="641">
          <cell r="C641" t="str">
            <v>胡煜星</v>
          </cell>
        </row>
        <row r="642">
          <cell r="A642">
            <v>8852</v>
          </cell>
        </row>
        <row r="642">
          <cell r="C642" t="str">
            <v>胡煜星</v>
          </cell>
        </row>
        <row r="643">
          <cell r="A643">
            <v>9287</v>
          </cell>
        </row>
        <row r="643">
          <cell r="C643" t="str">
            <v>胡煜星</v>
          </cell>
        </row>
        <row r="644">
          <cell r="A644">
            <v>9288</v>
          </cell>
        </row>
        <row r="644">
          <cell r="C644" t="str">
            <v>胡煜星</v>
          </cell>
        </row>
        <row r="645">
          <cell r="A645">
            <v>9123</v>
          </cell>
        </row>
        <row r="645">
          <cell r="C645" t="str">
            <v>胡煜星</v>
          </cell>
        </row>
        <row r="646">
          <cell r="A646">
            <v>9124</v>
          </cell>
        </row>
        <row r="646">
          <cell r="C646" t="str">
            <v>转二部</v>
          </cell>
        </row>
        <row r="647">
          <cell r="A647">
            <v>8616</v>
          </cell>
        </row>
        <row r="647">
          <cell r="C647" t="str">
            <v>胡煜星</v>
          </cell>
        </row>
        <row r="648">
          <cell r="A648">
            <v>8617</v>
          </cell>
        </row>
        <row r="648">
          <cell r="C648" t="str">
            <v>胡煜星</v>
          </cell>
        </row>
        <row r="649">
          <cell r="A649">
            <v>8770</v>
          </cell>
        </row>
        <row r="649">
          <cell r="C649" t="str">
            <v>胡煜星</v>
          </cell>
        </row>
        <row r="650">
          <cell r="A650">
            <v>8771</v>
          </cell>
        </row>
        <row r="650">
          <cell r="C650" t="str">
            <v>胡煜星</v>
          </cell>
        </row>
        <row r="651">
          <cell r="A651">
            <v>9812</v>
          </cell>
        </row>
        <row r="651">
          <cell r="C651" t="str">
            <v>胡煜星</v>
          </cell>
        </row>
        <row r="652">
          <cell r="A652">
            <v>8772</v>
          </cell>
        </row>
        <row r="652">
          <cell r="C652" t="str">
            <v>胡煜星</v>
          </cell>
        </row>
        <row r="653">
          <cell r="A653">
            <v>9088</v>
          </cell>
        </row>
        <row r="653">
          <cell r="C653" t="str">
            <v>胡煜星</v>
          </cell>
        </row>
        <row r="654">
          <cell r="A654">
            <v>9089</v>
          </cell>
        </row>
        <row r="654">
          <cell r="C654" t="str">
            <v>胡煜星</v>
          </cell>
        </row>
        <row r="655">
          <cell r="A655">
            <v>8773</v>
          </cell>
        </row>
        <row r="655">
          <cell r="C655" t="str">
            <v>转二部</v>
          </cell>
        </row>
        <row r="656">
          <cell r="A656">
            <v>8774</v>
          </cell>
        </row>
        <row r="656">
          <cell r="C656" t="str">
            <v>转二部</v>
          </cell>
        </row>
        <row r="657">
          <cell r="A657">
            <v>9045</v>
          </cell>
        </row>
        <row r="657">
          <cell r="C657" t="str">
            <v>胡煜星</v>
          </cell>
        </row>
        <row r="658">
          <cell r="A658">
            <v>9046</v>
          </cell>
        </row>
        <row r="658">
          <cell r="C658" t="str">
            <v>胡煜星</v>
          </cell>
        </row>
        <row r="659">
          <cell r="A659">
            <v>9515</v>
          </cell>
        </row>
        <row r="659">
          <cell r="C659" t="str">
            <v>胡煜星</v>
          </cell>
        </row>
        <row r="660">
          <cell r="A660">
            <v>9516</v>
          </cell>
        </row>
        <row r="660">
          <cell r="C660" t="str">
            <v>胡煜星</v>
          </cell>
        </row>
        <row r="661">
          <cell r="A661">
            <v>8618</v>
          </cell>
        </row>
        <row r="661">
          <cell r="C661" t="str">
            <v>胡煜星</v>
          </cell>
        </row>
        <row r="662">
          <cell r="A662">
            <v>8619</v>
          </cell>
        </row>
        <row r="662">
          <cell r="C662" t="str">
            <v>转二部</v>
          </cell>
        </row>
        <row r="663">
          <cell r="A663">
            <v>9517</v>
          </cell>
        </row>
        <row r="663">
          <cell r="C663" t="str">
            <v>胡煜星</v>
          </cell>
        </row>
        <row r="664">
          <cell r="A664">
            <v>9518</v>
          </cell>
        </row>
        <row r="664">
          <cell r="C664" t="str">
            <v>胡煜星</v>
          </cell>
        </row>
        <row r="665">
          <cell r="A665">
            <v>8775</v>
          </cell>
        </row>
        <row r="665">
          <cell r="C665" t="str">
            <v>胡煜星</v>
          </cell>
        </row>
        <row r="666">
          <cell r="A666">
            <v>8776</v>
          </cell>
        </row>
        <row r="666">
          <cell r="C666" t="str">
            <v>转二部</v>
          </cell>
        </row>
        <row r="667">
          <cell r="A667">
            <v>9282</v>
          </cell>
        </row>
        <row r="667">
          <cell r="C667" t="str">
            <v>胡煜星</v>
          </cell>
        </row>
        <row r="668">
          <cell r="A668">
            <v>9311</v>
          </cell>
        </row>
        <row r="668">
          <cell r="C668" t="str">
            <v>胡煜星</v>
          </cell>
        </row>
        <row r="669">
          <cell r="A669">
            <v>8620</v>
          </cell>
        </row>
        <row r="669">
          <cell r="C669" t="str">
            <v>胡煜星</v>
          </cell>
        </row>
        <row r="670">
          <cell r="A670">
            <v>8621</v>
          </cell>
        </row>
        <row r="670">
          <cell r="C670" t="str">
            <v>胡煜星</v>
          </cell>
        </row>
        <row r="671">
          <cell r="A671">
            <v>8999</v>
          </cell>
        </row>
        <row r="671">
          <cell r="C671" t="str">
            <v>胡煜星</v>
          </cell>
        </row>
        <row r="672">
          <cell r="A672">
            <v>9000</v>
          </cell>
        </row>
        <row r="672">
          <cell r="C672" t="str">
            <v>转二部</v>
          </cell>
        </row>
        <row r="673">
          <cell r="A673">
            <v>9771</v>
          </cell>
        </row>
        <row r="673">
          <cell r="C673" t="str">
            <v>胡煜星</v>
          </cell>
        </row>
        <row r="674">
          <cell r="A674">
            <v>9805</v>
          </cell>
        </row>
        <row r="674">
          <cell r="C674" t="str">
            <v>胡煜星</v>
          </cell>
        </row>
        <row r="675">
          <cell r="A675">
            <v>9048</v>
          </cell>
        </row>
        <row r="675">
          <cell r="C675" t="str">
            <v>转二部</v>
          </cell>
        </row>
        <row r="676">
          <cell r="A676">
            <v>8622</v>
          </cell>
        </row>
        <row r="676">
          <cell r="C676" t="str">
            <v>胡煜星</v>
          </cell>
        </row>
        <row r="677">
          <cell r="A677">
            <v>8623</v>
          </cell>
        </row>
        <row r="677">
          <cell r="C677" t="str">
            <v>转二部</v>
          </cell>
        </row>
        <row r="678">
          <cell r="A678">
            <v>9049</v>
          </cell>
        </row>
        <row r="678">
          <cell r="C678" t="str">
            <v>胡煜星</v>
          </cell>
        </row>
        <row r="679">
          <cell r="A679">
            <v>9289</v>
          </cell>
        </row>
        <row r="679">
          <cell r="C679" t="str">
            <v>胡煜星</v>
          </cell>
        </row>
        <row r="680">
          <cell r="A680">
            <v>9290</v>
          </cell>
        </row>
        <row r="680">
          <cell r="C680" t="str">
            <v>胡煜星</v>
          </cell>
        </row>
        <row r="681">
          <cell r="A681">
            <v>9291</v>
          </cell>
        </row>
        <row r="681">
          <cell r="C681" t="str">
            <v>转二部</v>
          </cell>
        </row>
        <row r="682">
          <cell r="A682">
            <v>8550</v>
          </cell>
        </row>
        <row r="682">
          <cell r="C682" t="str">
            <v>胡煜星</v>
          </cell>
        </row>
        <row r="683">
          <cell r="A683">
            <v>8551</v>
          </cell>
        </row>
        <row r="683">
          <cell r="C683" t="str">
            <v>胡煜星</v>
          </cell>
        </row>
        <row r="684">
          <cell r="A684">
            <v>9626</v>
          </cell>
        </row>
        <row r="684">
          <cell r="C684" t="str">
            <v>胡煜星</v>
          </cell>
        </row>
        <row r="685">
          <cell r="A685">
            <v>9816</v>
          </cell>
        </row>
        <row r="685">
          <cell r="C685" t="str">
            <v>转二部</v>
          </cell>
        </row>
        <row r="686">
          <cell r="A686">
            <v>9904</v>
          </cell>
        </row>
        <row r="686">
          <cell r="C686" t="str">
            <v>胡煜星</v>
          </cell>
        </row>
        <row r="687">
          <cell r="A687">
            <v>8779</v>
          </cell>
        </row>
        <row r="687">
          <cell r="C687" t="str">
            <v>转二部</v>
          </cell>
        </row>
        <row r="688">
          <cell r="A688">
            <v>8780</v>
          </cell>
        </row>
        <row r="688">
          <cell r="C688" t="str">
            <v>胡煜星</v>
          </cell>
        </row>
        <row r="689">
          <cell r="A689">
            <v>8728</v>
          </cell>
        </row>
        <row r="689">
          <cell r="C689" t="str">
            <v>胡煜星</v>
          </cell>
        </row>
        <row r="690">
          <cell r="A690">
            <v>8810</v>
          </cell>
        </row>
        <row r="690">
          <cell r="C690" t="str">
            <v>胡煜星</v>
          </cell>
        </row>
        <row r="691">
          <cell r="A691">
            <v>10349</v>
          </cell>
        </row>
        <row r="691">
          <cell r="C691" t="str">
            <v>胡煜星</v>
          </cell>
        </row>
        <row r="692">
          <cell r="A692">
            <v>8552</v>
          </cell>
        </row>
        <row r="692">
          <cell r="C692" t="str">
            <v>胡煜星</v>
          </cell>
        </row>
        <row r="693">
          <cell r="A693">
            <v>8553</v>
          </cell>
        </row>
        <row r="693">
          <cell r="C693" t="str">
            <v>胡煜星</v>
          </cell>
        </row>
        <row r="694">
          <cell r="A694">
            <v>8624</v>
          </cell>
        </row>
        <row r="694">
          <cell r="C694" t="str">
            <v>胡煜星</v>
          </cell>
        </row>
        <row r="695">
          <cell r="A695">
            <v>8625</v>
          </cell>
        </row>
        <row r="695">
          <cell r="C695" t="str">
            <v>胡煜星</v>
          </cell>
        </row>
        <row r="696">
          <cell r="A696">
            <v>9912</v>
          </cell>
        </row>
        <row r="696">
          <cell r="C696" t="str">
            <v>胡煜星</v>
          </cell>
        </row>
        <row r="697">
          <cell r="A697">
            <v>9981</v>
          </cell>
        </row>
        <row r="697">
          <cell r="C697" t="str">
            <v>胡煜星</v>
          </cell>
        </row>
        <row r="698">
          <cell r="A698">
            <v>8781</v>
          </cell>
        </row>
        <row r="698">
          <cell r="C698" t="str">
            <v>胡煜星</v>
          </cell>
        </row>
        <row r="699">
          <cell r="A699">
            <v>8783</v>
          </cell>
        </row>
        <row r="699">
          <cell r="C699" t="str">
            <v>胡煜星</v>
          </cell>
        </row>
        <row r="700">
          <cell r="A700">
            <v>9938</v>
          </cell>
        </row>
        <row r="700">
          <cell r="C700" t="str">
            <v>胡煜星</v>
          </cell>
        </row>
        <row r="701">
          <cell r="A701">
            <v>8699</v>
          </cell>
        </row>
        <row r="701">
          <cell r="C701" t="str">
            <v>胡煜星</v>
          </cell>
        </row>
        <row r="702">
          <cell r="A702">
            <v>9627</v>
          </cell>
        </row>
        <row r="702">
          <cell r="C702" t="str">
            <v>胡煜星</v>
          </cell>
        </row>
        <row r="703">
          <cell r="A703">
            <v>9860</v>
          </cell>
        </row>
        <row r="703">
          <cell r="C703" t="str">
            <v>胡煜星</v>
          </cell>
        </row>
        <row r="704">
          <cell r="A704">
            <v>9939</v>
          </cell>
        </row>
        <row r="704">
          <cell r="C704" t="str">
            <v>转二部</v>
          </cell>
        </row>
        <row r="705">
          <cell r="A705">
            <v>542</v>
          </cell>
        </row>
        <row r="705">
          <cell r="C705" t="str">
            <v>俞东旭</v>
          </cell>
        </row>
        <row r="706">
          <cell r="A706">
            <v>6763</v>
          </cell>
        </row>
        <row r="706">
          <cell r="C706" t="str">
            <v>朱培源</v>
          </cell>
        </row>
        <row r="707">
          <cell r="A707">
            <v>8989</v>
          </cell>
        </row>
        <row r="707">
          <cell r="C707" t="str">
            <v>章鹏</v>
          </cell>
        </row>
        <row r="708">
          <cell r="A708">
            <v>9493</v>
          </cell>
        </row>
        <row r="708">
          <cell r="C708" t="str">
            <v>转二部</v>
          </cell>
        </row>
        <row r="709">
          <cell r="A709">
            <v>9646</v>
          </cell>
        </row>
        <row r="709">
          <cell r="C709" t="str">
            <v>章鹏</v>
          </cell>
        </row>
        <row r="710">
          <cell r="A710">
            <v>9647</v>
          </cell>
        </row>
        <row r="710">
          <cell r="C710" t="str">
            <v>章鹏</v>
          </cell>
        </row>
        <row r="711">
          <cell r="A711">
            <v>8754</v>
          </cell>
        </row>
        <row r="711">
          <cell r="C711" t="str">
            <v>章鹏</v>
          </cell>
        </row>
        <row r="712">
          <cell r="A712">
            <v>9040</v>
          </cell>
        </row>
        <row r="712">
          <cell r="C712" t="str">
            <v>章鹏</v>
          </cell>
        </row>
        <row r="713">
          <cell r="A713">
            <v>2763</v>
          </cell>
        </row>
        <row r="713">
          <cell r="C713" t="str">
            <v>俞东旭</v>
          </cell>
        </row>
        <row r="714">
          <cell r="A714">
            <v>2764</v>
          </cell>
        </row>
        <row r="714">
          <cell r="C714" t="str">
            <v>俞东旭</v>
          </cell>
        </row>
        <row r="715">
          <cell r="A715">
            <v>2798</v>
          </cell>
        </row>
        <row r="715">
          <cell r="C715" t="str">
            <v>俞东旭</v>
          </cell>
        </row>
        <row r="716">
          <cell r="A716">
            <v>2772</v>
          </cell>
        </row>
        <row r="716">
          <cell r="C716" t="str">
            <v>俞东旭</v>
          </cell>
        </row>
        <row r="717">
          <cell r="A717">
            <v>2893</v>
          </cell>
        </row>
        <row r="717">
          <cell r="C717" t="str">
            <v>俞东旭</v>
          </cell>
        </row>
        <row r="718">
          <cell r="A718">
            <v>9803</v>
          </cell>
        </row>
        <row r="718">
          <cell r="C718" t="str">
            <v>章鹏</v>
          </cell>
        </row>
        <row r="719">
          <cell r="A719">
            <v>9494</v>
          </cell>
        </row>
        <row r="719">
          <cell r="C719" t="str">
            <v>章鹏</v>
          </cell>
        </row>
        <row r="720">
          <cell r="A720">
            <v>9561</v>
          </cell>
        </row>
        <row r="720">
          <cell r="C720" t="str">
            <v>章鹏</v>
          </cell>
        </row>
        <row r="721">
          <cell r="A721">
            <v>9539</v>
          </cell>
        </row>
        <row r="721">
          <cell r="C721" t="str">
            <v>章鹏</v>
          </cell>
        </row>
        <row r="722">
          <cell r="A722">
            <v>9694</v>
          </cell>
        </row>
        <row r="722">
          <cell r="C722" t="str">
            <v>章鹏</v>
          </cell>
        </row>
        <row r="723">
          <cell r="A723">
            <v>9695</v>
          </cell>
        </row>
        <row r="723">
          <cell r="C723" t="str">
            <v>章鹏</v>
          </cell>
        </row>
        <row r="724">
          <cell r="A724">
            <v>10012</v>
          </cell>
        </row>
        <row r="724">
          <cell r="C724" t="str">
            <v>俞东旭</v>
          </cell>
        </row>
        <row r="725">
          <cell r="A725">
            <v>9696</v>
          </cell>
        </row>
        <row r="725">
          <cell r="C725" t="str">
            <v>章鹏</v>
          </cell>
        </row>
        <row r="726">
          <cell r="A726">
            <v>9953</v>
          </cell>
        </row>
        <row r="726">
          <cell r="C726" t="str">
            <v>朱培源</v>
          </cell>
        </row>
        <row r="727">
          <cell r="A727">
            <v>10008</v>
          </cell>
        </row>
        <row r="727">
          <cell r="C727" t="str">
            <v>王偲涵</v>
          </cell>
        </row>
        <row r="728">
          <cell r="A728">
            <v>10009</v>
          </cell>
        </row>
        <row r="728">
          <cell r="C728" t="str">
            <v>王偲涵</v>
          </cell>
        </row>
        <row r="729">
          <cell r="A729">
            <v>10858</v>
          </cell>
        </row>
        <row r="729">
          <cell r="C729" t="str">
            <v>朱培源</v>
          </cell>
        </row>
        <row r="730">
          <cell r="A730">
            <v>10010</v>
          </cell>
        </row>
        <row r="730">
          <cell r="C730" t="str">
            <v>王偲涵</v>
          </cell>
        </row>
        <row r="731">
          <cell r="A731">
            <v>10095</v>
          </cell>
        </row>
        <row r="731">
          <cell r="C731" t="str">
            <v>转二部</v>
          </cell>
        </row>
        <row r="732">
          <cell r="A732">
            <v>10096</v>
          </cell>
        </row>
        <row r="732">
          <cell r="C732" t="str">
            <v>转二部</v>
          </cell>
        </row>
        <row r="733">
          <cell r="A733">
            <v>9037</v>
          </cell>
        </row>
        <row r="733">
          <cell r="C733" t="str">
            <v>章鹏</v>
          </cell>
        </row>
        <row r="734">
          <cell r="A734">
            <v>10128</v>
          </cell>
        </row>
        <row r="734">
          <cell r="C734" t="str">
            <v>张潇</v>
          </cell>
        </row>
        <row r="735">
          <cell r="A735">
            <v>9491</v>
          </cell>
        </row>
        <row r="735">
          <cell r="C735" t="str">
            <v>章鹏</v>
          </cell>
        </row>
        <row r="736">
          <cell r="A736">
            <v>8990</v>
          </cell>
        </row>
        <row r="736">
          <cell r="C736" t="str">
            <v>章鹏</v>
          </cell>
        </row>
        <row r="737">
          <cell r="A737">
            <v>10135</v>
          </cell>
        </row>
        <row r="737">
          <cell r="C737" t="str">
            <v>胡煜星</v>
          </cell>
        </row>
        <row r="738">
          <cell r="A738">
            <v>10226</v>
          </cell>
        </row>
        <row r="738">
          <cell r="C738" t="str">
            <v>张潇</v>
          </cell>
        </row>
        <row r="739">
          <cell r="A739">
            <v>2995</v>
          </cell>
        </row>
        <row r="739">
          <cell r="C739" t="str">
            <v>朱培源</v>
          </cell>
        </row>
        <row r="740">
          <cell r="A740">
            <v>10171</v>
          </cell>
        </row>
        <row r="740">
          <cell r="C740" t="str">
            <v>胡煜星</v>
          </cell>
        </row>
        <row r="741">
          <cell r="A741">
            <v>10172</v>
          </cell>
        </row>
        <row r="741">
          <cell r="C741" t="str">
            <v>胡煜星</v>
          </cell>
        </row>
        <row r="742">
          <cell r="A742">
            <v>9363</v>
          </cell>
        </row>
        <row r="742">
          <cell r="C742" t="str">
            <v>章鹏</v>
          </cell>
        </row>
        <row r="743">
          <cell r="A743">
            <v>9039</v>
          </cell>
        </row>
        <row r="743">
          <cell r="C743" t="str">
            <v>章鹏</v>
          </cell>
        </row>
        <row r="744">
          <cell r="A744">
            <v>7119</v>
          </cell>
        </row>
        <row r="744">
          <cell r="C744" t="str">
            <v>王偲涵</v>
          </cell>
        </row>
        <row r="745">
          <cell r="A745">
            <v>10545</v>
          </cell>
        </row>
        <row r="745">
          <cell r="C745" t="str">
            <v>转二部</v>
          </cell>
        </row>
        <row r="746">
          <cell r="A746">
            <v>10988</v>
          </cell>
        </row>
        <row r="746">
          <cell r="C746" t="str">
            <v>朱培源</v>
          </cell>
        </row>
        <row r="747">
          <cell r="A747">
            <v>8484</v>
          </cell>
        </row>
        <row r="747">
          <cell r="C747" t="str">
            <v>转二部</v>
          </cell>
        </row>
        <row r="748">
          <cell r="A748">
            <v>8181</v>
          </cell>
        </row>
        <row r="748">
          <cell r="C748" t="str">
            <v>俞东旭</v>
          </cell>
        </row>
        <row r="749">
          <cell r="A749">
            <v>10062</v>
          </cell>
        </row>
        <row r="749">
          <cell r="C749" t="str">
            <v>朱培源</v>
          </cell>
        </row>
        <row r="750">
          <cell r="A750">
            <v>136</v>
          </cell>
        </row>
        <row r="750">
          <cell r="C750" t="str">
            <v>转二部</v>
          </cell>
        </row>
        <row r="751">
          <cell r="A751">
            <v>7247</v>
          </cell>
        </row>
        <row r="751">
          <cell r="C751" t="str">
            <v>俞东旭</v>
          </cell>
        </row>
        <row r="752">
          <cell r="A752">
            <v>8485</v>
          </cell>
        </row>
        <row r="752">
          <cell r="C752" t="str">
            <v>章鹏</v>
          </cell>
        </row>
        <row r="753">
          <cell r="A753">
            <v>9697</v>
          </cell>
        </row>
        <row r="753">
          <cell r="C753" t="str">
            <v>章鹏</v>
          </cell>
        </row>
        <row r="754">
          <cell r="A754">
            <v>10350</v>
          </cell>
        </row>
        <row r="754">
          <cell r="C754" t="str">
            <v>转二部</v>
          </cell>
        </row>
        <row r="755">
          <cell r="A755">
            <v>8753</v>
          </cell>
        </row>
        <row r="755">
          <cell r="C755" t="str">
            <v>章鹏</v>
          </cell>
        </row>
        <row r="756">
          <cell r="A756">
            <v>10381</v>
          </cell>
        </row>
        <row r="756">
          <cell r="C756" t="str">
            <v>王偲涵</v>
          </cell>
        </row>
        <row r="757">
          <cell r="A757">
            <v>10386</v>
          </cell>
        </row>
        <row r="757">
          <cell r="C757" t="str">
            <v>王偲涵</v>
          </cell>
        </row>
        <row r="758">
          <cell r="A758">
            <v>9360</v>
          </cell>
        </row>
        <row r="758">
          <cell r="C758" t="str">
            <v>章鹏</v>
          </cell>
        </row>
        <row r="759">
          <cell r="A759">
            <v>9303</v>
          </cell>
        </row>
        <row r="759">
          <cell r="C759" t="str">
            <v>章鹏</v>
          </cell>
        </row>
        <row r="760">
          <cell r="A760">
            <v>3758</v>
          </cell>
        </row>
        <row r="760">
          <cell r="C760" t="str">
            <v>朱培源</v>
          </cell>
        </row>
        <row r="761">
          <cell r="A761">
            <v>8607</v>
          </cell>
        </row>
        <row r="761">
          <cell r="C761" t="str">
            <v>章鹏</v>
          </cell>
        </row>
        <row r="762">
          <cell r="A762">
            <v>9560</v>
          </cell>
        </row>
        <row r="762">
          <cell r="C762" t="str">
            <v>章鹏</v>
          </cell>
        </row>
        <row r="763">
          <cell r="A763">
            <v>10508</v>
          </cell>
        </row>
        <row r="763">
          <cell r="C763" t="str">
            <v>转二部</v>
          </cell>
        </row>
        <row r="764">
          <cell r="A764">
            <v>10518</v>
          </cell>
        </row>
        <row r="764">
          <cell r="C764" t="str">
            <v>胡煜星</v>
          </cell>
        </row>
        <row r="765">
          <cell r="A765">
            <v>10519</v>
          </cell>
        </row>
        <row r="765">
          <cell r="C765" t="str">
            <v>胡煜星</v>
          </cell>
        </row>
        <row r="766">
          <cell r="A766">
            <v>10520</v>
          </cell>
        </row>
        <row r="766">
          <cell r="C766" t="str">
            <v>转二部</v>
          </cell>
        </row>
        <row r="767">
          <cell r="A767">
            <v>10544</v>
          </cell>
        </row>
        <row r="767">
          <cell r="C767" t="str">
            <v>王偲涵</v>
          </cell>
        </row>
        <row r="768">
          <cell r="A768">
            <v>9038</v>
          </cell>
        </row>
        <row r="768">
          <cell r="C768" t="str">
            <v>章鹏</v>
          </cell>
        </row>
        <row r="769">
          <cell r="A769">
            <v>10813</v>
          </cell>
        </row>
        <row r="769">
          <cell r="C769" t="str">
            <v>朱培源</v>
          </cell>
        </row>
        <row r="770">
          <cell r="A770">
            <v>10553</v>
          </cell>
        </row>
        <row r="770">
          <cell r="C770" t="str">
            <v>俞东旭</v>
          </cell>
        </row>
        <row r="771">
          <cell r="A771">
            <v>10554</v>
          </cell>
        </row>
        <row r="771">
          <cell r="C771" t="str">
            <v>胡煜星</v>
          </cell>
        </row>
        <row r="772">
          <cell r="A772">
            <v>10585</v>
          </cell>
        </row>
        <row r="772">
          <cell r="C772" t="str">
            <v>转二部</v>
          </cell>
        </row>
        <row r="773">
          <cell r="A773">
            <v>10592</v>
          </cell>
        </row>
        <row r="773">
          <cell r="C773" t="str">
            <v>转二部</v>
          </cell>
        </row>
        <row r="774">
          <cell r="A774">
            <v>10593</v>
          </cell>
        </row>
        <row r="774">
          <cell r="C774" t="str">
            <v>胡煜星</v>
          </cell>
        </row>
        <row r="775">
          <cell r="A775">
            <v>9557</v>
          </cell>
        </row>
        <row r="775">
          <cell r="C775" t="str">
            <v>章鹏</v>
          </cell>
        </row>
        <row r="776">
          <cell r="A776">
            <v>10653</v>
          </cell>
        </row>
        <row r="776">
          <cell r="C776" t="str">
            <v>胡煜星</v>
          </cell>
        </row>
        <row r="777">
          <cell r="A777">
            <v>10659</v>
          </cell>
        </row>
        <row r="777">
          <cell r="C777" t="str">
            <v>转二部</v>
          </cell>
        </row>
        <row r="778">
          <cell r="A778">
            <v>10660</v>
          </cell>
        </row>
        <row r="778">
          <cell r="C778" t="str">
            <v>转二部</v>
          </cell>
        </row>
        <row r="779">
          <cell r="A779">
            <v>10774</v>
          </cell>
        </row>
        <row r="779">
          <cell r="C779" t="str">
            <v>胡煜星</v>
          </cell>
        </row>
        <row r="780">
          <cell r="A780">
            <v>10785</v>
          </cell>
        </row>
        <row r="780">
          <cell r="C780" t="str">
            <v>王偲涵</v>
          </cell>
        </row>
        <row r="781">
          <cell r="A781">
            <v>10786</v>
          </cell>
        </row>
        <row r="781">
          <cell r="C781" t="str">
            <v>王偲涵</v>
          </cell>
        </row>
        <row r="782">
          <cell r="A782">
            <v>10787</v>
          </cell>
        </row>
        <row r="782">
          <cell r="C782" t="str">
            <v>王偲涵</v>
          </cell>
        </row>
        <row r="783">
          <cell r="A783">
            <v>10466</v>
          </cell>
        </row>
        <row r="783">
          <cell r="C783" t="str">
            <v>转二部</v>
          </cell>
        </row>
        <row r="784">
          <cell r="A784">
            <v>10811</v>
          </cell>
        </row>
        <row r="784">
          <cell r="C784" t="str">
            <v>朱培源</v>
          </cell>
        </row>
        <row r="785">
          <cell r="A785">
            <v>1371</v>
          </cell>
        </row>
        <row r="785">
          <cell r="C785" t="str">
            <v>章鹏</v>
          </cell>
        </row>
        <row r="786">
          <cell r="A786">
            <v>8126</v>
          </cell>
        </row>
        <row r="786">
          <cell r="C786" t="str">
            <v>俞东旭</v>
          </cell>
        </row>
        <row r="787">
          <cell r="A787">
            <v>10857</v>
          </cell>
        </row>
        <row r="787">
          <cell r="C787" t="str">
            <v>转二部</v>
          </cell>
        </row>
        <row r="788">
          <cell r="A788">
            <v>10812</v>
          </cell>
        </row>
        <row r="788">
          <cell r="C788" t="str">
            <v>转二部</v>
          </cell>
        </row>
        <row r="789">
          <cell r="A789">
            <v>10107</v>
          </cell>
        </row>
        <row r="789">
          <cell r="C789" t="str">
            <v>朱培源</v>
          </cell>
        </row>
        <row r="790">
          <cell r="A790">
            <v>10639</v>
          </cell>
        </row>
        <row r="790">
          <cell r="C790" t="str">
            <v>朱培源</v>
          </cell>
        </row>
        <row r="791">
          <cell r="A791">
            <v>10465</v>
          </cell>
        </row>
        <row r="791">
          <cell r="C791" t="str">
            <v>转二部</v>
          </cell>
        </row>
        <row r="792">
          <cell r="A792">
            <v>10937</v>
          </cell>
        </row>
        <row r="792">
          <cell r="C792" t="str">
            <v>胡煜星</v>
          </cell>
        </row>
        <row r="793">
          <cell r="A793">
            <v>10938</v>
          </cell>
        </row>
        <row r="793">
          <cell r="C793" t="str">
            <v>转二部</v>
          </cell>
        </row>
        <row r="794">
          <cell r="A794">
            <v>10977</v>
          </cell>
        </row>
        <row r="794">
          <cell r="C794" t="str">
            <v>转二部</v>
          </cell>
        </row>
        <row r="795">
          <cell r="A795">
            <v>11033</v>
          </cell>
        </row>
        <row r="795">
          <cell r="C795" t="str">
            <v>朱培源</v>
          </cell>
        </row>
        <row r="796">
          <cell r="A796">
            <v>11002</v>
          </cell>
        </row>
        <row r="796">
          <cell r="C796" t="str">
            <v>俞东旭</v>
          </cell>
        </row>
        <row r="797">
          <cell r="A797">
            <v>11003</v>
          </cell>
        </row>
        <row r="797">
          <cell r="C797" t="str">
            <v>俞东旭</v>
          </cell>
        </row>
        <row r="798">
          <cell r="A798">
            <v>11004</v>
          </cell>
        </row>
        <row r="798">
          <cell r="C798" t="str">
            <v>俞东旭</v>
          </cell>
        </row>
        <row r="799">
          <cell r="A799">
            <v>11005</v>
          </cell>
        </row>
        <row r="799">
          <cell r="C799" t="str">
            <v>转二部</v>
          </cell>
        </row>
        <row r="800">
          <cell r="A800">
            <v>10859</v>
          </cell>
        </row>
        <row r="800">
          <cell r="C800" t="str">
            <v>朱培源</v>
          </cell>
        </row>
        <row r="801">
          <cell r="A801">
            <v>11030</v>
          </cell>
        </row>
        <row r="801">
          <cell r="C801" t="str">
            <v>张潇</v>
          </cell>
        </row>
        <row r="802">
          <cell r="A802">
            <v>11043</v>
          </cell>
        </row>
        <row r="802">
          <cell r="C802" t="str">
            <v>王偲涵</v>
          </cell>
        </row>
        <row r="803">
          <cell r="A803">
            <v>11053</v>
          </cell>
        </row>
        <row r="803">
          <cell r="C803" t="str">
            <v>转二部</v>
          </cell>
        </row>
        <row r="804">
          <cell r="A804">
            <v>8393</v>
          </cell>
        </row>
        <row r="804">
          <cell r="C804" t="str">
            <v>俞东旭</v>
          </cell>
        </row>
        <row r="805">
          <cell r="A805">
            <v>11078</v>
          </cell>
        </row>
        <row r="805">
          <cell r="C805" t="str">
            <v>转二部</v>
          </cell>
        </row>
        <row r="806">
          <cell r="A806">
            <v>1447</v>
          </cell>
        </row>
        <row r="806">
          <cell r="C806" t="str">
            <v>章鹏</v>
          </cell>
        </row>
        <row r="807">
          <cell r="A807">
            <v>1446</v>
          </cell>
        </row>
        <row r="807">
          <cell r="C807" t="str">
            <v>章鹏</v>
          </cell>
        </row>
        <row r="808">
          <cell r="A808">
            <v>11076</v>
          </cell>
        </row>
        <row r="808">
          <cell r="C808" t="str">
            <v>王偲涵</v>
          </cell>
        </row>
        <row r="809">
          <cell r="A809">
            <v>11086</v>
          </cell>
        </row>
        <row r="809">
          <cell r="C809" t="str">
            <v>胡煜星</v>
          </cell>
        </row>
        <row r="810">
          <cell r="A810">
            <v>11091</v>
          </cell>
        </row>
        <row r="810">
          <cell r="C810" t="str">
            <v>张潇</v>
          </cell>
        </row>
        <row r="811">
          <cell r="A811">
            <v>11093</v>
          </cell>
        </row>
        <row r="811">
          <cell r="C811" t="str">
            <v>朱培源</v>
          </cell>
        </row>
        <row r="812">
          <cell r="A812">
            <v>11096</v>
          </cell>
        </row>
        <row r="812">
          <cell r="C812" t="str">
            <v>转二部</v>
          </cell>
        </row>
        <row r="813">
          <cell r="A813">
            <v>11100</v>
          </cell>
        </row>
        <row r="813">
          <cell r="C813" t="str">
            <v>俞东旭</v>
          </cell>
        </row>
        <row r="814">
          <cell r="A814">
            <v>11101</v>
          </cell>
        </row>
        <row r="814">
          <cell r="C814" t="str">
            <v>俞东旭</v>
          </cell>
        </row>
        <row r="815">
          <cell r="A815">
            <v>11102</v>
          </cell>
        </row>
        <row r="815">
          <cell r="C815" t="str">
            <v>张潇</v>
          </cell>
        </row>
        <row r="816">
          <cell r="A816">
            <v>11103</v>
          </cell>
        </row>
        <row r="816">
          <cell r="C816" t="str">
            <v>朱培源</v>
          </cell>
        </row>
        <row r="817">
          <cell r="A817">
            <v>11104</v>
          </cell>
        </row>
        <row r="817">
          <cell r="C817" t="str">
            <v>朱培源</v>
          </cell>
        </row>
        <row r="818">
          <cell r="A818">
            <v>11106</v>
          </cell>
        </row>
        <row r="818">
          <cell r="C818" t="str">
            <v>朱培源</v>
          </cell>
        </row>
        <row r="819">
          <cell r="A819">
            <v>11137</v>
          </cell>
        </row>
        <row r="819">
          <cell r="C819" t="str">
            <v>俞东旭</v>
          </cell>
        </row>
        <row r="820">
          <cell r="A820">
            <v>11178</v>
          </cell>
        </row>
        <row r="820">
          <cell r="C820" t="str">
            <v>转二部</v>
          </cell>
        </row>
        <row r="821">
          <cell r="A821">
            <v>11179</v>
          </cell>
        </row>
        <row r="821">
          <cell r="C821" t="str">
            <v>胡煜星</v>
          </cell>
        </row>
        <row r="822">
          <cell r="A822">
            <v>11187</v>
          </cell>
        </row>
        <row r="822">
          <cell r="C822" t="str">
            <v>胡煜星</v>
          </cell>
        </row>
        <row r="823">
          <cell r="A823">
            <v>11188</v>
          </cell>
        </row>
        <row r="823">
          <cell r="C823" t="str">
            <v>胡煜星</v>
          </cell>
        </row>
        <row r="824">
          <cell r="A824">
            <v>11192</v>
          </cell>
        </row>
        <row r="824">
          <cell r="C824" t="str">
            <v>俞东旭</v>
          </cell>
        </row>
        <row r="825">
          <cell r="A825">
            <v>11193</v>
          </cell>
        </row>
        <row r="825">
          <cell r="C825" t="str">
            <v>俞东旭</v>
          </cell>
        </row>
        <row r="826">
          <cell r="A826">
            <v>11219</v>
          </cell>
        </row>
        <row r="826">
          <cell r="C826" t="str">
            <v>俞东旭</v>
          </cell>
        </row>
        <row r="827">
          <cell r="A827">
            <v>11223</v>
          </cell>
        </row>
        <row r="827">
          <cell r="C827" t="str">
            <v>朱培源</v>
          </cell>
        </row>
        <row r="828">
          <cell r="A828">
            <v>11230</v>
          </cell>
        </row>
        <row r="828">
          <cell r="C828" t="str">
            <v>朱培源</v>
          </cell>
        </row>
        <row r="829">
          <cell r="A829">
            <v>11233</v>
          </cell>
        </row>
        <row r="829">
          <cell r="C829" t="str">
            <v>俞东旭</v>
          </cell>
        </row>
        <row r="830">
          <cell r="A830">
            <v>11240</v>
          </cell>
        </row>
        <row r="830">
          <cell r="C830" t="str">
            <v>胡煜星</v>
          </cell>
        </row>
        <row r="831">
          <cell r="A831">
            <v>11244</v>
          </cell>
        </row>
        <row r="831">
          <cell r="C831" t="str">
            <v>俞东旭</v>
          </cell>
        </row>
        <row r="832">
          <cell r="A832">
            <v>11245</v>
          </cell>
        </row>
        <row r="832">
          <cell r="C832" t="str">
            <v>俞东旭</v>
          </cell>
        </row>
        <row r="833">
          <cell r="A833">
            <v>11246</v>
          </cell>
        </row>
        <row r="833">
          <cell r="C833" t="str">
            <v>俞东旭</v>
          </cell>
        </row>
        <row r="834">
          <cell r="A834">
            <v>11257</v>
          </cell>
        </row>
        <row r="834">
          <cell r="C834" t="str">
            <v>转二部</v>
          </cell>
        </row>
        <row r="835">
          <cell r="A835">
            <v>11258</v>
          </cell>
        </row>
        <row r="835">
          <cell r="C835" t="str">
            <v>转二部</v>
          </cell>
        </row>
        <row r="836">
          <cell r="A836">
            <v>11262</v>
          </cell>
        </row>
        <row r="836">
          <cell r="C836" t="str">
            <v>胡煜星</v>
          </cell>
        </row>
        <row r="837">
          <cell r="A837">
            <v>11270</v>
          </cell>
        </row>
        <row r="837">
          <cell r="C837" t="str">
            <v>俞东旭</v>
          </cell>
        </row>
        <row r="838">
          <cell r="A838">
            <v>11284</v>
          </cell>
        </row>
        <row r="838">
          <cell r="C838" t="str">
            <v>俞东旭</v>
          </cell>
        </row>
        <row r="839">
          <cell r="A839">
            <v>11288</v>
          </cell>
        </row>
        <row r="839">
          <cell r="C839" t="str">
            <v>俞东旭</v>
          </cell>
        </row>
        <row r="840">
          <cell r="A840">
            <v>11289</v>
          </cell>
        </row>
        <row r="840">
          <cell r="C840" t="str">
            <v>转二部</v>
          </cell>
        </row>
        <row r="841">
          <cell r="A841">
            <v>11290</v>
          </cell>
        </row>
        <row r="841">
          <cell r="C841" t="str">
            <v>俞东旭</v>
          </cell>
        </row>
        <row r="842">
          <cell r="A842">
            <v>11312</v>
          </cell>
        </row>
        <row r="842">
          <cell r="C842" t="str">
            <v>朱培源</v>
          </cell>
        </row>
        <row r="843">
          <cell r="A843">
            <v>11327</v>
          </cell>
        </row>
        <row r="843">
          <cell r="C843" t="str">
            <v>朱培源</v>
          </cell>
        </row>
        <row r="844">
          <cell r="A844">
            <v>11330</v>
          </cell>
        </row>
        <row r="844">
          <cell r="C844" t="str">
            <v>俞东旭</v>
          </cell>
        </row>
        <row r="845">
          <cell r="A845">
            <v>11331</v>
          </cell>
        </row>
        <row r="845">
          <cell r="C845" t="str">
            <v>俞东旭</v>
          </cell>
        </row>
        <row r="846">
          <cell r="A846">
            <v>11345</v>
          </cell>
        </row>
        <row r="846">
          <cell r="C846" t="str">
            <v>胡煜星</v>
          </cell>
        </row>
        <row r="847">
          <cell r="A847">
            <v>11346</v>
          </cell>
        </row>
        <row r="847">
          <cell r="C847" t="str">
            <v>朱培源</v>
          </cell>
        </row>
        <row r="848">
          <cell r="A848">
            <v>11348</v>
          </cell>
        </row>
        <row r="848">
          <cell r="C848" t="str">
            <v>胡煜星</v>
          </cell>
        </row>
        <row r="849">
          <cell r="A849">
            <v>11349</v>
          </cell>
        </row>
        <row r="849">
          <cell r="C849" t="str">
            <v>胡煜星</v>
          </cell>
        </row>
        <row r="850">
          <cell r="A850">
            <v>11350</v>
          </cell>
        </row>
        <row r="850">
          <cell r="C850" t="str">
            <v>胡煜星</v>
          </cell>
        </row>
        <row r="851">
          <cell r="A851">
            <v>11380</v>
          </cell>
        </row>
        <row r="851">
          <cell r="C851" t="str">
            <v>胡煜星</v>
          </cell>
        </row>
        <row r="852">
          <cell r="A852">
            <v>11394</v>
          </cell>
        </row>
        <row r="852">
          <cell r="C852" t="str">
            <v>转二部</v>
          </cell>
        </row>
        <row r="853">
          <cell r="A853">
            <v>11398</v>
          </cell>
        </row>
        <row r="853">
          <cell r="C853" t="str">
            <v>朱培源</v>
          </cell>
        </row>
        <row r="854">
          <cell r="A854">
            <v>11446</v>
          </cell>
        </row>
        <row r="854">
          <cell r="C854" t="str">
            <v>张潇</v>
          </cell>
        </row>
        <row r="855">
          <cell r="A855">
            <v>11405</v>
          </cell>
        </row>
        <row r="855">
          <cell r="C855" t="str">
            <v>章鹏</v>
          </cell>
        </row>
        <row r="856">
          <cell r="A856">
            <v>11406</v>
          </cell>
        </row>
        <row r="856">
          <cell r="C856" t="str">
            <v>章鹏</v>
          </cell>
        </row>
        <row r="857">
          <cell r="A857">
            <v>11455</v>
          </cell>
        </row>
        <row r="857">
          <cell r="C857" t="str">
            <v>俞东旭</v>
          </cell>
        </row>
        <row r="858">
          <cell r="A858">
            <v>11456</v>
          </cell>
        </row>
        <row r="858">
          <cell r="C858" t="str">
            <v>俞东旭</v>
          </cell>
        </row>
        <row r="859">
          <cell r="A859">
            <v>11464</v>
          </cell>
        </row>
        <row r="859">
          <cell r="C859" t="str">
            <v>朱培源</v>
          </cell>
        </row>
        <row r="860">
          <cell r="A860">
            <v>11465</v>
          </cell>
        </row>
        <row r="860">
          <cell r="C860" t="str">
            <v>朱培源</v>
          </cell>
        </row>
        <row r="861">
          <cell r="A861">
            <v>11490</v>
          </cell>
        </row>
        <row r="861">
          <cell r="C861" t="str">
            <v>朱培源</v>
          </cell>
        </row>
        <row r="862">
          <cell r="A862">
            <v>4133</v>
          </cell>
        </row>
        <row r="862">
          <cell r="C862" t="str">
            <v>俞东旭</v>
          </cell>
        </row>
        <row r="863">
          <cell r="A863">
            <v>11510</v>
          </cell>
        </row>
        <row r="863">
          <cell r="C863" t="str">
            <v>胡煜星</v>
          </cell>
        </row>
        <row r="864">
          <cell r="A864">
            <v>11512</v>
          </cell>
        </row>
        <row r="864">
          <cell r="C864" t="str">
            <v>朱培源</v>
          </cell>
        </row>
        <row r="865">
          <cell r="A865">
            <v>11513</v>
          </cell>
        </row>
        <row r="865">
          <cell r="C865" t="str">
            <v>朱培源</v>
          </cell>
        </row>
        <row r="866">
          <cell r="A866">
            <v>11528</v>
          </cell>
        </row>
        <row r="866">
          <cell r="C866" t="str">
            <v>朱培源</v>
          </cell>
        </row>
        <row r="867">
          <cell r="A867">
            <v>11546</v>
          </cell>
        </row>
        <row r="867">
          <cell r="C867" t="str">
            <v>俞东旭</v>
          </cell>
        </row>
        <row r="868">
          <cell r="A868">
            <v>11547</v>
          </cell>
        </row>
        <row r="868">
          <cell r="C868" t="str">
            <v>朱培源</v>
          </cell>
        </row>
        <row r="869">
          <cell r="A869">
            <v>11552</v>
          </cell>
        </row>
        <row r="869">
          <cell r="C869" t="str">
            <v>胡煜星</v>
          </cell>
        </row>
        <row r="870">
          <cell r="A870">
            <v>11553</v>
          </cell>
        </row>
        <row r="870">
          <cell r="C870" t="str">
            <v>胡煜星</v>
          </cell>
        </row>
        <row r="871">
          <cell r="A871">
            <v>11554</v>
          </cell>
        </row>
        <row r="871">
          <cell r="C871" t="str">
            <v>胡煜星</v>
          </cell>
        </row>
        <row r="872">
          <cell r="A872">
            <v>11600</v>
          </cell>
        </row>
        <row r="872">
          <cell r="C872" t="str">
            <v>俞东旭</v>
          </cell>
        </row>
        <row r="873">
          <cell r="A873">
            <v>11601</v>
          </cell>
        </row>
        <row r="873">
          <cell r="C873" t="str">
            <v>俞东旭</v>
          </cell>
        </row>
        <row r="874">
          <cell r="A874">
            <v>11603</v>
          </cell>
        </row>
        <row r="874">
          <cell r="C874" t="str">
            <v>朱培源</v>
          </cell>
        </row>
        <row r="875">
          <cell r="A875">
            <v>11650</v>
          </cell>
        </row>
        <row r="875">
          <cell r="C875" t="str">
            <v>朱培源</v>
          </cell>
        </row>
        <row r="876">
          <cell r="A876">
            <v>11655</v>
          </cell>
        </row>
        <row r="876">
          <cell r="C876" t="str">
            <v>俞东旭</v>
          </cell>
        </row>
        <row r="877">
          <cell r="A877">
            <v>11656</v>
          </cell>
        </row>
        <row r="877">
          <cell r="C877" t="str">
            <v>俞东旭</v>
          </cell>
        </row>
        <row r="878">
          <cell r="A878">
            <v>11668</v>
          </cell>
        </row>
        <row r="878">
          <cell r="C878" t="str">
            <v>朱培源</v>
          </cell>
        </row>
        <row r="879">
          <cell r="A879">
            <v>11674</v>
          </cell>
        </row>
        <row r="879">
          <cell r="C879" t="str">
            <v>朱培源</v>
          </cell>
        </row>
        <row r="880">
          <cell r="A880">
            <v>11681</v>
          </cell>
        </row>
        <row r="880">
          <cell r="C880" t="str">
            <v>胡煜星</v>
          </cell>
        </row>
        <row r="881">
          <cell r="A881">
            <v>11682</v>
          </cell>
        </row>
        <row r="881">
          <cell r="C881" t="str">
            <v>胡煜星</v>
          </cell>
        </row>
        <row r="882">
          <cell r="A882">
            <v>11683</v>
          </cell>
        </row>
        <row r="882">
          <cell r="C882" t="str">
            <v>胡煜星</v>
          </cell>
        </row>
        <row r="883">
          <cell r="A883">
            <v>11699</v>
          </cell>
        </row>
        <row r="883">
          <cell r="C883" t="str">
            <v>俞东旭</v>
          </cell>
        </row>
        <row r="884">
          <cell r="A884">
            <v>11704</v>
          </cell>
        </row>
        <row r="884">
          <cell r="C884" t="str">
            <v>俞东旭</v>
          </cell>
        </row>
        <row r="885">
          <cell r="A885">
            <v>11733</v>
          </cell>
        </row>
        <row r="885">
          <cell r="C885" t="str">
            <v>俞东旭</v>
          </cell>
        </row>
        <row r="886">
          <cell r="A886">
            <v>12303</v>
          </cell>
        </row>
        <row r="886">
          <cell r="C886" t="str">
            <v>俞东旭</v>
          </cell>
        </row>
        <row r="887">
          <cell r="A887">
            <v>11736</v>
          </cell>
        </row>
        <row r="887">
          <cell r="C887" t="str">
            <v>俞东旭</v>
          </cell>
        </row>
        <row r="888">
          <cell r="A888">
            <v>11742</v>
          </cell>
        </row>
        <row r="888">
          <cell r="C888" t="str">
            <v>俞东旭</v>
          </cell>
        </row>
        <row r="889">
          <cell r="A889">
            <v>11745</v>
          </cell>
        </row>
        <row r="889">
          <cell r="C889" t="str">
            <v>朱培源</v>
          </cell>
        </row>
        <row r="890">
          <cell r="A890">
            <v>11751</v>
          </cell>
        </row>
        <row r="890">
          <cell r="C890" t="str">
            <v>王偲涵</v>
          </cell>
        </row>
        <row r="891">
          <cell r="A891">
            <v>11756</v>
          </cell>
        </row>
        <row r="891">
          <cell r="C891" t="str">
            <v>胡煜星</v>
          </cell>
        </row>
        <row r="892">
          <cell r="A892">
            <v>11757</v>
          </cell>
        </row>
        <row r="892">
          <cell r="C892" t="str">
            <v>朱培源</v>
          </cell>
        </row>
        <row r="893">
          <cell r="A893">
            <v>11758</v>
          </cell>
        </row>
        <row r="893">
          <cell r="C893" t="str">
            <v>朱培源</v>
          </cell>
        </row>
        <row r="894">
          <cell r="A894">
            <v>11764</v>
          </cell>
        </row>
        <row r="894">
          <cell r="C894">
            <v>0</v>
          </cell>
        </row>
        <row r="895">
          <cell r="A895">
            <v>11765</v>
          </cell>
        </row>
        <row r="895">
          <cell r="C895">
            <v>0</v>
          </cell>
        </row>
        <row r="896">
          <cell r="A896">
            <v>11777</v>
          </cell>
        </row>
        <row r="896">
          <cell r="C896" t="str">
            <v>朱培源</v>
          </cell>
        </row>
        <row r="897">
          <cell r="A897">
            <v>11778</v>
          </cell>
        </row>
        <row r="897">
          <cell r="C897" t="str">
            <v>胡煜星</v>
          </cell>
        </row>
        <row r="898">
          <cell r="A898">
            <v>11780</v>
          </cell>
        </row>
        <row r="898">
          <cell r="C898" t="str">
            <v>胡煜星</v>
          </cell>
        </row>
        <row r="899">
          <cell r="A899">
            <v>11781</v>
          </cell>
        </row>
        <row r="899">
          <cell r="C899" t="str">
            <v>俞东旭</v>
          </cell>
        </row>
        <row r="900">
          <cell r="A900">
            <v>11792</v>
          </cell>
        </row>
        <row r="900">
          <cell r="C900" t="str">
            <v>胡煜星</v>
          </cell>
        </row>
        <row r="901">
          <cell r="A901">
            <v>11793</v>
          </cell>
        </row>
        <row r="901">
          <cell r="C901" t="str">
            <v>俞东旭</v>
          </cell>
        </row>
        <row r="902">
          <cell r="A902">
            <v>11794</v>
          </cell>
        </row>
        <row r="902">
          <cell r="C902" t="str">
            <v>朱培源</v>
          </cell>
        </row>
        <row r="903">
          <cell r="A903">
            <v>11808</v>
          </cell>
        </row>
        <row r="903">
          <cell r="C903" t="str">
            <v>朱培源</v>
          </cell>
        </row>
        <row r="904">
          <cell r="A904">
            <v>11809</v>
          </cell>
        </row>
        <row r="904">
          <cell r="C904" t="str">
            <v>朱培源</v>
          </cell>
        </row>
        <row r="905">
          <cell r="A905">
            <v>11814</v>
          </cell>
        </row>
        <row r="905">
          <cell r="C905" t="str">
            <v>朱培源</v>
          </cell>
        </row>
        <row r="906">
          <cell r="A906">
            <v>11815</v>
          </cell>
        </row>
        <row r="906">
          <cell r="C906" t="str">
            <v>朱培源</v>
          </cell>
        </row>
        <row r="907">
          <cell r="A907">
            <v>11823</v>
          </cell>
        </row>
        <row r="907">
          <cell r="C907" t="str">
            <v>王偲涵</v>
          </cell>
        </row>
        <row r="908">
          <cell r="A908">
            <v>11824</v>
          </cell>
        </row>
        <row r="908">
          <cell r="C908" t="str">
            <v>朱培源</v>
          </cell>
        </row>
        <row r="909">
          <cell r="A909">
            <v>11826</v>
          </cell>
        </row>
        <row r="909">
          <cell r="C909" t="str">
            <v>俞东旭</v>
          </cell>
        </row>
        <row r="910">
          <cell r="A910">
            <v>11830</v>
          </cell>
        </row>
        <row r="910">
          <cell r="C910" t="str">
            <v>王偲涵</v>
          </cell>
        </row>
        <row r="911">
          <cell r="A911">
            <v>11833</v>
          </cell>
        </row>
        <row r="911">
          <cell r="C911" t="str">
            <v>俞东旭</v>
          </cell>
        </row>
        <row r="912">
          <cell r="A912">
            <v>11839</v>
          </cell>
        </row>
        <row r="912">
          <cell r="C912" t="str">
            <v>王偲涵</v>
          </cell>
        </row>
        <row r="913">
          <cell r="A913">
            <v>11840</v>
          </cell>
        </row>
        <row r="913">
          <cell r="C913" t="str">
            <v>王偲涵</v>
          </cell>
        </row>
        <row r="914">
          <cell r="A914">
            <v>11848</v>
          </cell>
        </row>
        <row r="914">
          <cell r="C914" t="str">
            <v>胡煜星</v>
          </cell>
        </row>
        <row r="915">
          <cell r="A915">
            <v>11852</v>
          </cell>
        </row>
        <row r="915">
          <cell r="C915" t="str">
            <v>俞东旭</v>
          </cell>
        </row>
        <row r="916">
          <cell r="A916">
            <v>11855</v>
          </cell>
        </row>
        <row r="916">
          <cell r="C916" t="str">
            <v>俞东旭</v>
          </cell>
        </row>
        <row r="917">
          <cell r="A917">
            <v>11856</v>
          </cell>
        </row>
        <row r="917">
          <cell r="C917" t="str">
            <v>俞东旭</v>
          </cell>
        </row>
        <row r="918">
          <cell r="A918">
            <v>11857</v>
          </cell>
        </row>
        <row r="918">
          <cell r="C918" t="str">
            <v>俞东旭</v>
          </cell>
        </row>
        <row r="919">
          <cell r="A919">
            <v>11866</v>
          </cell>
        </row>
        <row r="919">
          <cell r="C919" t="str">
            <v>张潇</v>
          </cell>
        </row>
        <row r="920">
          <cell r="A920">
            <v>11867</v>
          </cell>
        </row>
        <row r="920">
          <cell r="C920" t="str">
            <v>张潇</v>
          </cell>
        </row>
        <row r="921">
          <cell r="A921">
            <v>11874</v>
          </cell>
        </row>
        <row r="921">
          <cell r="C921" t="str">
            <v>俞东旭</v>
          </cell>
        </row>
        <row r="922">
          <cell r="A922">
            <v>11875</v>
          </cell>
        </row>
        <row r="922">
          <cell r="C922" t="str">
            <v>胡煜星</v>
          </cell>
        </row>
        <row r="923">
          <cell r="A923">
            <v>11876</v>
          </cell>
        </row>
        <row r="923">
          <cell r="C923" t="str">
            <v>俞东旭</v>
          </cell>
        </row>
        <row r="924">
          <cell r="A924">
            <v>11890</v>
          </cell>
        </row>
        <row r="924">
          <cell r="C924" t="str">
            <v>俞东旭</v>
          </cell>
        </row>
        <row r="925">
          <cell r="A925">
            <v>11904</v>
          </cell>
        </row>
        <row r="925">
          <cell r="C925" t="str">
            <v>胡煜星</v>
          </cell>
        </row>
        <row r="926">
          <cell r="A926">
            <v>11911</v>
          </cell>
        </row>
        <row r="926">
          <cell r="C926" t="str">
            <v>胡煜星</v>
          </cell>
        </row>
        <row r="927">
          <cell r="A927">
            <v>11921</v>
          </cell>
        </row>
        <row r="927">
          <cell r="C927" t="str">
            <v>俞东旭</v>
          </cell>
        </row>
        <row r="928">
          <cell r="A928">
            <v>11922</v>
          </cell>
        </row>
        <row r="928">
          <cell r="C928" t="str">
            <v>俞东旭</v>
          </cell>
        </row>
        <row r="929">
          <cell r="A929">
            <v>11923</v>
          </cell>
        </row>
        <row r="929">
          <cell r="C929" t="str">
            <v>俞东旭</v>
          </cell>
        </row>
        <row r="930">
          <cell r="A930">
            <v>11925</v>
          </cell>
        </row>
        <row r="930">
          <cell r="C930" t="str">
            <v>胡煜星</v>
          </cell>
        </row>
        <row r="931">
          <cell r="A931">
            <v>11926</v>
          </cell>
        </row>
        <row r="931">
          <cell r="C931" t="str">
            <v>俞东旭</v>
          </cell>
        </row>
        <row r="932">
          <cell r="A932">
            <v>11927</v>
          </cell>
        </row>
        <row r="932">
          <cell r="C932" t="str">
            <v>俞东旭</v>
          </cell>
        </row>
        <row r="933">
          <cell r="A933">
            <v>11928</v>
          </cell>
        </row>
        <row r="933">
          <cell r="C933" t="str">
            <v>俞东旭</v>
          </cell>
        </row>
        <row r="934">
          <cell r="A934">
            <v>11929</v>
          </cell>
        </row>
        <row r="934">
          <cell r="C934" t="str">
            <v>俞东旭</v>
          </cell>
        </row>
        <row r="935">
          <cell r="A935">
            <v>11933</v>
          </cell>
        </row>
        <row r="935">
          <cell r="C935" t="str">
            <v>张潇</v>
          </cell>
        </row>
        <row r="936">
          <cell r="A936">
            <v>11936</v>
          </cell>
        </row>
        <row r="936">
          <cell r="C936" t="str">
            <v>王偲涵</v>
          </cell>
        </row>
        <row r="937">
          <cell r="A937">
            <v>11937</v>
          </cell>
        </row>
        <row r="937">
          <cell r="C937" t="str">
            <v>王偲涵</v>
          </cell>
        </row>
        <row r="938">
          <cell r="A938">
            <v>11938</v>
          </cell>
        </row>
        <row r="938">
          <cell r="C938" t="str">
            <v>王偲涵</v>
          </cell>
        </row>
        <row r="939">
          <cell r="A939">
            <v>11982</v>
          </cell>
        </row>
        <row r="939">
          <cell r="C939" t="str">
            <v>朱培源</v>
          </cell>
        </row>
        <row r="940">
          <cell r="A940">
            <v>11981</v>
          </cell>
        </row>
        <row r="940">
          <cell r="C940" t="str">
            <v>张潇</v>
          </cell>
        </row>
        <row r="941">
          <cell r="A941">
            <v>12002</v>
          </cell>
        </row>
        <row r="941">
          <cell r="C941" t="str">
            <v>朱培源</v>
          </cell>
        </row>
        <row r="942">
          <cell r="A942">
            <v>12005</v>
          </cell>
        </row>
        <row r="942">
          <cell r="C942" t="str">
            <v>张潇</v>
          </cell>
        </row>
        <row r="943">
          <cell r="A943">
            <v>12006</v>
          </cell>
        </row>
        <row r="943">
          <cell r="C943" t="str">
            <v>张潇</v>
          </cell>
        </row>
        <row r="944">
          <cell r="A944">
            <v>12021</v>
          </cell>
        </row>
        <row r="944">
          <cell r="C944" t="str">
            <v>俞东旭</v>
          </cell>
        </row>
        <row r="945">
          <cell r="A945">
            <v>12023</v>
          </cell>
        </row>
        <row r="945">
          <cell r="C945" t="str">
            <v>朱培源</v>
          </cell>
        </row>
        <row r="946">
          <cell r="A946">
            <v>11998</v>
          </cell>
        </row>
        <row r="946">
          <cell r="C946" t="str">
            <v>俞东旭</v>
          </cell>
        </row>
        <row r="947">
          <cell r="A947">
            <v>12088</v>
          </cell>
        </row>
        <row r="947">
          <cell r="C947" t="str">
            <v>朱培源</v>
          </cell>
        </row>
        <row r="948">
          <cell r="A948">
            <v>12089</v>
          </cell>
        </row>
        <row r="948">
          <cell r="C948" t="str">
            <v>朱培源</v>
          </cell>
        </row>
        <row r="949">
          <cell r="A949">
            <v>12011</v>
          </cell>
        </row>
        <row r="949">
          <cell r="C949" t="str">
            <v>张潇</v>
          </cell>
        </row>
        <row r="950">
          <cell r="A950">
            <v>12061</v>
          </cell>
        </row>
        <row r="950">
          <cell r="C950" t="str">
            <v>张潇</v>
          </cell>
        </row>
        <row r="951">
          <cell r="A951">
            <v>11989</v>
          </cell>
        </row>
        <row r="951">
          <cell r="C951" t="str">
            <v>张潇</v>
          </cell>
        </row>
        <row r="952">
          <cell r="A952">
            <v>11990</v>
          </cell>
        </row>
        <row r="952">
          <cell r="C952" t="str">
            <v>胡煜星</v>
          </cell>
        </row>
        <row r="953">
          <cell r="A953">
            <v>11991</v>
          </cell>
        </row>
        <row r="953">
          <cell r="C953" t="str">
            <v>胡煜星</v>
          </cell>
        </row>
        <row r="954">
          <cell r="A954">
            <v>12139</v>
          </cell>
        </row>
        <row r="954">
          <cell r="C954" t="str">
            <v>张潇</v>
          </cell>
        </row>
        <row r="955">
          <cell r="A955">
            <v>12087</v>
          </cell>
        </row>
        <row r="955">
          <cell r="C955" t="str">
            <v>王偲涵</v>
          </cell>
        </row>
        <row r="956">
          <cell r="A956">
            <v>12105</v>
          </cell>
        </row>
        <row r="956">
          <cell r="C956" t="str">
            <v>朱培源</v>
          </cell>
        </row>
        <row r="957">
          <cell r="A957">
            <v>12106</v>
          </cell>
        </row>
        <row r="957">
          <cell r="C957" t="str">
            <v>朱培源</v>
          </cell>
        </row>
        <row r="958">
          <cell r="A958">
            <v>12058</v>
          </cell>
        </row>
        <row r="958">
          <cell r="C958" t="str">
            <v>章鹏</v>
          </cell>
        </row>
        <row r="959">
          <cell r="A959">
            <v>12059</v>
          </cell>
        </row>
        <row r="959">
          <cell r="C959" t="str">
            <v>章鹏</v>
          </cell>
        </row>
        <row r="960">
          <cell r="A960">
            <v>12060</v>
          </cell>
        </row>
        <row r="960">
          <cell r="C960" t="str">
            <v>张潇</v>
          </cell>
        </row>
        <row r="961">
          <cell r="A961">
            <v>12143</v>
          </cell>
        </row>
        <row r="961">
          <cell r="C961" t="str">
            <v>俞东旭</v>
          </cell>
        </row>
        <row r="962">
          <cell r="A962">
            <v>12079</v>
          </cell>
        </row>
        <row r="962">
          <cell r="C962" t="str">
            <v>朱培源</v>
          </cell>
        </row>
        <row r="963">
          <cell r="A963">
            <v>12104</v>
          </cell>
        </row>
        <row r="963">
          <cell r="C963" t="str">
            <v>朱培源</v>
          </cell>
        </row>
        <row r="964">
          <cell r="A964">
            <v>12072</v>
          </cell>
        </row>
        <row r="964">
          <cell r="C964" t="str">
            <v>胡煜星</v>
          </cell>
        </row>
        <row r="965">
          <cell r="A965">
            <v>12073</v>
          </cell>
        </row>
        <row r="965">
          <cell r="C965" t="str">
            <v>朱培源</v>
          </cell>
        </row>
        <row r="966">
          <cell r="A966">
            <v>12074</v>
          </cell>
        </row>
        <row r="966">
          <cell r="C966" t="str">
            <v>朱培源</v>
          </cell>
        </row>
        <row r="967">
          <cell r="A967">
            <v>12075</v>
          </cell>
        </row>
        <row r="967">
          <cell r="C967" t="str">
            <v>朱培源</v>
          </cell>
        </row>
        <row r="968">
          <cell r="A968">
            <v>12252</v>
          </cell>
        </row>
        <row r="968">
          <cell r="C968" t="str">
            <v>胡煜星</v>
          </cell>
        </row>
        <row r="969">
          <cell r="A969">
            <v>12205</v>
          </cell>
        </row>
        <row r="969">
          <cell r="C969" t="str">
            <v>胡煜星</v>
          </cell>
        </row>
        <row r="970">
          <cell r="A970">
            <v>12206</v>
          </cell>
        </row>
        <row r="970">
          <cell r="C970" t="str">
            <v>胡煜星</v>
          </cell>
        </row>
        <row r="971">
          <cell r="A971">
            <v>12165</v>
          </cell>
        </row>
        <row r="971">
          <cell r="C971" t="str">
            <v>朱培源</v>
          </cell>
        </row>
        <row r="972">
          <cell r="A972">
            <v>12240</v>
          </cell>
        </row>
        <row r="972">
          <cell r="C972" t="str">
            <v>王偲涵</v>
          </cell>
        </row>
        <row r="973">
          <cell r="A973">
            <v>12225</v>
          </cell>
        </row>
        <row r="973">
          <cell r="C973" t="str">
            <v>章鹏</v>
          </cell>
        </row>
        <row r="974">
          <cell r="A974">
            <v>12248</v>
          </cell>
        </row>
        <row r="974">
          <cell r="C974" t="str">
            <v>胡煜星</v>
          </cell>
        </row>
        <row r="975">
          <cell r="A975">
            <v>12246</v>
          </cell>
        </row>
        <row r="975">
          <cell r="C975" t="str">
            <v>胡煜星</v>
          </cell>
        </row>
        <row r="976">
          <cell r="A976">
            <v>12247</v>
          </cell>
        </row>
        <row r="976">
          <cell r="C976" t="str">
            <v>胡煜星</v>
          </cell>
        </row>
        <row r="977">
          <cell r="A977">
            <v>11997</v>
          </cell>
        </row>
        <row r="977">
          <cell r="C977" t="str">
            <v>张潇</v>
          </cell>
        </row>
        <row r="978">
          <cell r="A978">
            <v>12071</v>
          </cell>
        </row>
        <row r="978">
          <cell r="C978" t="str">
            <v>胡煜星</v>
          </cell>
        </row>
        <row r="979">
          <cell r="A979">
            <v>12304</v>
          </cell>
        </row>
        <row r="979">
          <cell r="C979" t="str">
            <v>俞东旭</v>
          </cell>
        </row>
        <row r="980">
          <cell r="A980">
            <v>12086</v>
          </cell>
        </row>
        <row r="980">
          <cell r="C980" t="str">
            <v>张潇</v>
          </cell>
        </row>
        <row r="981">
          <cell r="A981">
            <v>12258</v>
          </cell>
        </row>
        <row r="981">
          <cell r="C981" t="str">
            <v>张潇</v>
          </cell>
        </row>
        <row r="982">
          <cell r="A982">
            <v>12210</v>
          </cell>
        </row>
        <row r="982">
          <cell r="C982" t="str">
            <v>张潇</v>
          </cell>
        </row>
        <row r="983">
          <cell r="A983">
            <v>12250</v>
          </cell>
        </row>
        <row r="983">
          <cell r="C983" t="str">
            <v>王偲涵</v>
          </cell>
        </row>
        <row r="984">
          <cell r="A984">
            <v>12251</v>
          </cell>
        </row>
        <row r="984">
          <cell r="C984" t="str">
            <v>王偲涵</v>
          </cell>
        </row>
        <row r="985">
          <cell r="A985">
            <v>12262</v>
          </cell>
        </row>
        <row r="985">
          <cell r="C985" t="str">
            <v>张潇</v>
          </cell>
        </row>
        <row r="986">
          <cell r="A986">
            <v>12244</v>
          </cell>
        </row>
        <row r="986">
          <cell r="C986" t="str">
            <v>张潇</v>
          </cell>
        </row>
        <row r="987">
          <cell r="A987">
            <v>12243</v>
          </cell>
        </row>
        <row r="987">
          <cell r="C987" t="str">
            <v>张潇</v>
          </cell>
        </row>
        <row r="988">
          <cell r="A988">
            <v>12332</v>
          </cell>
        </row>
        <row r="988">
          <cell r="C988" t="str">
            <v>张潇</v>
          </cell>
        </row>
        <row r="989">
          <cell r="A989">
            <v>12368</v>
          </cell>
        </row>
        <row r="989">
          <cell r="C989" t="str">
            <v>胡煜星</v>
          </cell>
        </row>
        <row r="990">
          <cell r="A990">
            <v>12085</v>
          </cell>
        </row>
        <row r="990">
          <cell r="C990" t="str">
            <v>张潇</v>
          </cell>
        </row>
        <row r="991">
          <cell r="A991">
            <v>12227</v>
          </cell>
        </row>
        <row r="991">
          <cell r="C991" t="str">
            <v>章鹏</v>
          </cell>
        </row>
        <row r="992">
          <cell r="A992">
            <v>12271</v>
          </cell>
        </row>
        <row r="992">
          <cell r="C992" t="str">
            <v>俞东旭</v>
          </cell>
        </row>
        <row r="993">
          <cell r="A993">
            <v>12270</v>
          </cell>
        </row>
        <row r="993">
          <cell r="C993" t="str">
            <v>俞东旭</v>
          </cell>
        </row>
        <row r="994">
          <cell r="A994">
            <v>12292</v>
          </cell>
        </row>
        <row r="994">
          <cell r="C994" t="str">
            <v>朱培源</v>
          </cell>
        </row>
        <row r="995">
          <cell r="A995">
            <v>12213</v>
          </cell>
        </row>
        <row r="995">
          <cell r="C995" t="str">
            <v>张潇</v>
          </cell>
        </row>
        <row r="996">
          <cell r="A996">
            <v>12293</v>
          </cell>
        </row>
        <row r="996">
          <cell r="C996" t="str">
            <v>朱培源</v>
          </cell>
        </row>
        <row r="997">
          <cell r="A997">
            <v>12298</v>
          </cell>
        </row>
        <row r="997">
          <cell r="C997" t="str">
            <v>朱培源</v>
          </cell>
        </row>
        <row r="998">
          <cell r="A998">
            <v>12299</v>
          </cell>
        </row>
        <row r="998">
          <cell r="C998" t="str">
            <v>朱培源</v>
          </cell>
        </row>
        <row r="999">
          <cell r="A999">
            <v>12356</v>
          </cell>
        </row>
        <row r="999">
          <cell r="C999" t="str">
            <v>七部</v>
          </cell>
        </row>
        <row r="1000">
          <cell r="A1000">
            <v>12320</v>
          </cell>
        </row>
        <row r="1000">
          <cell r="C1000" t="str">
            <v>朱培源</v>
          </cell>
        </row>
        <row r="1001">
          <cell r="A1001">
            <v>12333</v>
          </cell>
        </row>
        <row r="1001">
          <cell r="C1001" t="str">
            <v>朱培源</v>
          </cell>
        </row>
        <row r="1002">
          <cell r="A1002">
            <v>12334</v>
          </cell>
        </row>
        <row r="1002">
          <cell r="C1002" t="str">
            <v>朱培源</v>
          </cell>
        </row>
        <row r="1003">
          <cell r="A1003">
            <v>12305</v>
          </cell>
        </row>
        <row r="1003">
          <cell r="C1003" t="str">
            <v>俞东旭</v>
          </cell>
        </row>
        <row r="1004">
          <cell r="A1004">
            <v>12306</v>
          </cell>
        </row>
        <row r="1004">
          <cell r="C1004" t="str">
            <v>俞东旭</v>
          </cell>
        </row>
        <row r="1005">
          <cell r="A1005">
            <v>12307</v>
          </cell>
        </row>
        <row r="1005">
          <cell r="C1005" t="str">
            <v>俞东旭</v>
          </cell>
        </row>
        <row r="1006">
          <cell r="A1006">
            <v>12308</v>
          </cell>
        </row>
        <row r="1006">
          <cell r="C1006" t="str">
            <v>俞东旭</v>
          </cell>
        </row>
        <row r="1007">
          <cell r="A1007">
            <v>12309</v>
          </cell>
        </row>
        <row r="1007">
          <cell r="C1007" t="str">
            <v>俞东旭</v>
          </cell>
        </row>
        <row r="1008">
          <cell r="A1008">
            <v>12310</v>
          </cell>
        </row>
        <row r="1008">
          <cell r="C1008" t="str">
            <v>俞东旭</v>
          </cell>
        </row>
        <row r="1009">
          <cell r="A1009">
            <v>12321</v>
          </cell>
        </row>
        <row r="1009">
          <cell r="C1009" t="str">
            <v>俞东旭</v>
          </cell>
        </row>
        <row r="1010">
          <cell r="A1010">
            <v>12272</v>
          </cell>
        </row>
        <row r="1010">
          <cell r="C1010" t="str">
            <v>胡煜星</v>
          </cell>
        </row>
        <row r="1011">
          <cell r="A1011">
            <v>12392</v>
          </cell>
        </row>
        <row r="1011">
          <cell r="C1011" t="str">
            <v>七部</v>
          </cell>
        </row>
        <row r="1012">
          <cell r="A1012">
            <v>12311</v>
          </cell>
        </row>
        <row r="1012">
          <cell r="C1012" t="str">
            <v>俞东旭</v>
          </cell>
        </row>
        <row r="1013">
          <cell r="A1013">
            <v>12312</v>
          </cell>
        </row>
        <row r="1013">
          <cell r="C1013" t="str">
            <v>俞东旭</v>
          </cell>
        </row>
        <row r="1014">
          <cell r="A1014">
            <v>5836</v>
          </cell>
        </row>
        <row r="1014">
          <cell r="C1014" t="str">
            <v>胡煜星</v>
          </cell>
        </row>
        <row r="1015">
          <cell r="A1015">
            <v>12359</v>
          </cell>
        </row>
        <row r="1015">
          <cell r="C1015" t="str">
            <v>胡煜星</v>
          </cell>
        </row>
        <row r="1016">
          <cell r="A1016">
            <v>12441</v>
          </cell>
        </row>
        <row r="1016">
          <cell r="C1016" t="str">
            <v>张潇</v>
          </cell>
        </row>
        <row r="1017">
          <cell r="A1017">
            <v>12318</v>
          </cell>
        </row>
        <row r="1017">
          <cell r="C1017" t="str">
            <v>胡煜星</v>
          </cell>
        </row>
        <row r="1018">
          <cell r="A1018">
            <v>7440</v>
          </cell>
        </row>
        <row r="1018">
          <cell r="C1018" t="str">
            <v>张潇</v>
          </cell>
        </row>
        <row r="1019">
          <cell r="A1019">
            <v>12396</v>
          </cell>
        </row>
        <row r="1019">
          <cell r="C1019" t="str">
            <v>胡煜星</v>
          </cell>
        </row>
        <row r="1020">
          <cell r="A1020">
            <v>12291</v>
          </cell>
        </row>
        <row r="1020">
          <cell r="C1020" t="str">
            <v>张潇</v>
          </cell>
        </row>
        <row r="1021">
          <cell r="A1021">
            <v>12290</v>
          </cell>
        </row>
        <row r="1021">
          <cell r="C1021" t="str">
            <v>张潇</v>
          </cell>
        </row>
        <row r="1022">
          <cell r="A1022">
            <v>12391</v>
          </cell>
        </row>
        <row r="1022">
          <cell r="C1022" t="str">
            <v>张潇</v>
          </cell>
        </row>
        <row r="1023">
          <cell r="A1023">
            <v>12398</v>
          </cell>
        </row>
        <row r="1023">
          <cell r="C1023" t="str">
            <v>张潇</v>
          </cell>
        </row>
        <row r="1024">
          <cell r="A1024">
            <v>12357</v>
          </cell>
        </row>
        <row r="1024">
          <cell r="C1024" t="str">
            <v>张潇</v>
          </cell>
        </row>
        <row r="1025">
          <cell r="A1025">
            <v>12423</v>
          </cell>
        </row>
        <row r="1025">
          <cell r="C1025" t="str">
            <v>张潇</v>
          </cell>
        </row>
        <row r="1026">
          <cell r="A1026">
            <v>12387</v>
          </cell>
        </row>
        <row r="1026">
          <cell r="C1026" t="str">
            <v>俞东旭</v>
          </cell>
        </row>
        <row r="1027">
          <cell r="A1027">
            <v>12388</v>
          </cell>
        </row>
        <row r="1027">
          <cell r="C1027" t="str">
            <v>俞东旭</v>
          </cell>
        </row>
        <row r="1028">
          <cell r="A1028">
            <v>12474</v>
          </cell>
        </row>
        <row r="1028">
          <cell r="C1028" t="str">
            <v>张潇</v>
          </cell>
        </row>
        <row r="1029">
          <cell r="A1029">
            <v>12429</v>
          </cell>
        </row>
        <row r="1029">
          <cell r="C1029" t="str">
            <v>俞东旭</v>
          </cell>
        </row>
        <row r="1030">
          <cell r="A1030">
            <v>12424</v>
          </cell>
        </row>
        <row r="1030">
          <cell r="C1030" t="str">
            <v>俞东旭</v>
          </cell>
        </row>
        <row r="1031">
          <cell r="A1031">
            <v>12386</v>
          </cell>
        </row>
        <row r="1031">
          <cell r="C1031" t="str">
            <v>俞东旭</v>
          </cell>
        </row>
        <row r="1032">
          <cell r="A1032">
            <v>12426</v>
          </cell>
        </row>
        <row r="1032">
          <cell r="C1032" t="str">
            <v>胡煜星</v>
          </cell>
        </row>
        <row r="1033">
          <cell r="A1033">
            <v>12483</v>
          </cell>
        </row>
        <row r="1033">
          <cell r="C1033" t="str">
            <v>胡煜星</v>
          </cell>
        </row>
        <row r="1034">
          <cell r="A1034">
            <v>12484</v>
          </cell>
        </row>
        <row r="1034">
          <cell r="C1034" t="str">
            <v>胡煜星</v>
          </cell>
        </row>
        <row r="1035">
          <cell r="A1035">
            <v>12414</v>
          </cell>
        </row>
        <row r="1035">
          <cell r="C1035" t="str">
            <v>俞东旭</v>
          </cell>
        </row>
        <row r="1036">
          <cell r="A1036">
            <v>12422</v>
          </cell>
        </row>
        <row r="1036">
          <cell r="C1036" t="str">
            <v>俞东旭</v>
          </cell>
        </row>
        <row r="1037">
          <cell r="A1037">
            <v>6903</v>
          </cell>
        </row>
        <row r="1037">
          <cell r="C1037" t="str">
            <v>张潇</v>
          </cell>
        </row>
        <row r="1038">
          <cell r="A1038">
            <v>2713</v>
          </cell>
        </row>
        <row r="1038">
          <cell r="C1038" t="str">
            <v>朱培源</v>
          </cell>
        </row>
        <row r="1039">
          <cell r="A1039">
            <v>4134</v>
          </cell>
        </row>
        <row r="1039">
          <cell r="C1039" t="str">
            <v>胡煜星</v>
          </cell>
        </row>
        <row r="1040">
          <cell r="A1040">
            <v>994</v>
          </cell>
        </row>
        <row r="1040">
          <cell r="C1040" t="str">
            <v>张潇</v>
          </cell>
        </row>
        <row r="1041">
          <cell r="A1041">
            <v>1160</v>
          </cell>
        </row>
        <row r="1041">
          <cell r="C1041" t="str">
            <v>张潇</v>
          </cell>
        </row>
        <row r="1042">
          <cell r="A1042">
            <v>3183</v>
          </cell>
        </row>
        <row r="1042">
          <cell r="C1042" t="str">
            <v>朱培源</v>
          </cell>
        </row>
        <row r="1043">
          <cell r="A1043">
            <v>3855</v>
          </cell>
        </row>
        <row r="1043">
          <cell r="C1043" t="str">
            <v>张潇</v>
          </cell>
        </row>
        <row r="1044">
          <cell r="A1044">
            <v>4181</v>
          </cell>
        </row>
        <row r="1044">
          <cell r="C1044" t="str">
            <v>张潇</v>
          </cell>
        </row>
        <row r="1045">
          <cell r="A1045">
            <v>3517</v>
          </cell>
        </row>
        <row r="1045">
          <cell r="C1045" t="str">
            <v>张潇</v>
          </cell>
        </row>
        <row r="1046">
          <cell r="A1046">
            <v>3833</v>
          </cell>
        </row>
        <row r="1046">
          <cell r="C1046" t="str">
            <v>张潇</v>
          </cell>
        </row>
        <row r="1047">
          <cell r="A1047">
            <v>3598</v>
          </cell>
        </row>
        <row r="1047">
          <cell r="C1047" t="str">
            <v>张潇</v>
          </cell>
        </row>
        <row r="1048">
          <cell r="A1048">
            <v>3599</v>
          </cell>
        </row>
        <row r="1048">
          <cell r="C1048" t="str">
            <v>张潇</v>
          </cell>
        </row>
        <row r="1049">
          <cell r="A1049">
            <v>4547</v>
          </cell>
        </row>
        <row r="1049">
          <cell r="C1049" t="str">
            <v>张潇</v>
          </cell>
        </row>
        <row r="1050">
          <cell r="A1050">
            <v>9061</v>
          </cell>
        </row>
        <row r="1050">
          <cell r="C1050" t="str">
            <v>张潇</v>
          </cell>
        </row>
        <row r="1051">
          <cell r="A1051">
            <v>9580</v>
          </cell>
        </row>
        <row r="1051">
          <cell r="C1051" t="str">
            <v>张潇</v>
          </cell>
        </row>
        <row r="1052">
          <cell r="A1052">
            <v>5493</v>
          </cell>
        </row>
        <row r="1052">
          <cell r="C1052" t="str">
            <v>张潇</v>
          </cell>
        </row>
        <row r="1053">
          <cell r="A1053">
            <v>8685</v>
          </cell>
        </row>
        <row r="1053">
          <cell r="C1053" t="str">
            <v>张潇</v>
          </cell>
        </row>
        <row r="1054">
          <cell r="A1054">
            <v>8749</v>
          </cell>
        </row>
        <row r="1054">
          <cell r="C1054" t="str">
            <v>张潇</v>
          </cell>
        </row>
        <row r="1055">
          <cell r="A1055">
            <v>8879</v>
          </cell>
        </row>
        <row r="1055">
          <cell r="C1055" t="str">
            <v>张潇</v>
          </cell>
        </row>
        <row r="1056">
          <cell r="A1056">
            <v>8961</v>
          </cell>
        </row>
        <row r="1056">
          <cell r="C1056" t="str">
            <v>张潇</v>
          </cell>
        </row>
        <row r="1057">
          <cell r="A1057">
            <v>424</v>
          </cell>
        </row>
        <row r="1057">
          <cell r="C1057" t="str">
            <v>张潇</v>
          </cell>
        </row>
        <row r="1058">
          <cell r="A1058">
            <v>9063</v>
          </cell>
        </row>
        <row r="1058">
          <cell r="C1058" t="str">
            <v>张潇</v>
          </cell>
        </row>
        <row r="1059">
          <cell r="A1059">
            <v>9066</v>
          </cell>
        </row>
        <row r="1059">
          <cell r="C1059" t="str">
            <v>张潇</v>
          </cell>
        </row>
        <row r="1060">
          <cell r="A1060">
            <v>9307</v>
          </cell>
        </row>
        <row r="1060">
          <cell r="C1060" t="str">
            <v>张潇</v>
          </cell>
        </row>
        <row r="1061">
          <cell r="A1061">
            <v>5542</v>
          </cell>
        </row>
        <row r="1061">
          <cell r="C1061" t="str">
            <v>张潇</v>
          </cell>
        </row>
        <row r="1062">
          <cell r="A1062">
            <v>651</v>
          </cell>
        </row>
        <row r="1062">
          <cell r="C1062" t="str">
            <v>张潇</v>
          </cell>
        </row>
        <row r="1063">
          <cell r="A1063">
            <v>3379</v>
          </cell>
        </row>
        <row r="1063">
          <cell r="C1063" t="str">
            <v>朱培源</v>
          </cell>
        </row>
        <row r="1064">
          <cell r="A1064">
            <v>922</v>
          </cell>
        </row>
        <row r="1064">
          <cell r="C1064" t="str">
            <v>张潇</v>
          </cell>
        </row>
        <row r="1065">
          <cell r="A1065">
            <v>1014</v>
          </cell>
        </row>
        <row r="1065">
          <cell r="C1065" t="str">
            <v>张潇</v>
          </cell>
        </row>
        <row r="1066">
          <cell r="A1066">
            <v>944</v>
          </cell>
        </row>
        <row r="1066">
          <cell r="C1066" t="str">
            <v>张潇</v>
          </cell>
        </row>
        <row r="1067">
          <cell r="A1067">
            <v>1642</v>
          </cell>
        </row>
        <row r="1067">
          <cell r="C1067" t="str">
            <v>张潇</v>
          </cell>
        </row>
        <row r="1068">
          <cell r="A1068">
            <v>1689</v>
          </cell>
        </row>
        <row r="1068">
          <cell r="C1068" t="str">
            <v>张潇</v>
          </cell>
        </row>
        <row r="1069">
          <cell r="A1069">
            <v>409</v>
          </cell>
        </row>
        <row r="1069">
          <cell r="C1069" t="str">
            <v>张潇</v>
          </cell>
        </row>
        <row r="1070">
          <cell r="A1070">
            <v>1290</v>
          </cell>
        </row>
        <row r="1070">
          <cell r="C1070" t="str">
            <v>张潇</v>
          </cell>
        </row>
        <row r="1071">
          <cell r="A1071">
            <v>4657</v>
          </cell>
        </row>
        <row r="1071">
          <cell r="C1071" t="str">
            <v>张潇</v>
          </cell>
        </row>
        <row r="1072">
          <cell r="A1072">
            <v>3871</v>
          </cell>
        </row>
        <row r="1072">
          <cell r="C1072" t="str">
            <v>张潇</v>
          </cell>
        </row>
        <row r="1073">
          <cell r="A1073">
            <v>1296</v>
          </cell>
        </row>
        <row r="1073">
          <cell r="C1073" t="str">
            <v>张潇</v>
          </cell>
        </row>
        <row r="1074">
          <cell r="A1074">
            <v>5690</v>
          </cell>
        </row>
        <row r="1074">
          <cell r="C1074" t="str">
            <v>张潇</v>
          </cell>
        </row>
        <row r="1075">
          <cell r="A1075">
            <v>1424</v>
          </cell>
        </row>
        <row r="1075">
          <cell r="C1075" t="str">
            <v>张潇</v>
          </cell>
        </row>
        <row r="1076">
          <cell r="A1076">
            <v>2481</v>
          </cell>
        </row>
        <row r="1076">
          <cell r="C1076" t="str">
            <v>张潇</v>
          </cell>
        </row>
        <row r="1077">
          <cell r="A1077">
            <v>322</v>
          </cell>
        </row>
        <row r="1077">
          <cell r="C1077" t="str">
            <v>张潇</v>
          </cell>
        </row>
        <row r="1078">
          <cell r="A1078">
            <v>481</v>
          </cell>
        </row>
        <row r="1078">
          <cell r="C1078" t="str">
            <v>张潇</v>
          </cell>
        </row>
        <row r="1079">
          <cell r="A1079">
            <v>634</v>
          </cell>
        </row>
        <row r="1079">
          <cell r="C1079" t="str">
            <v>张潇</v>
          </cell>
        </row>
        <row r="1080">
          <cell r="A1080">
            <v>636</v>
          </cell>
        </row>
        <row r="1080">
          <cell r="C1080" t="str">
            <v>张潇</v>
          </cell>
        </row>
        <row r="1081">
          <cell r="A1081">
            <v>657</v>
          </cell>
        </row>
        <row r="1081">
          <cell r="C1081" t="str">
            <v>张潇</v>
          </cell>
        </row>
        <row r="1082">
          <cell r="A1082">
            <v>567</v>
          </cell>
        </row>
        <row r="1082">
          <cell r="C1082" t="str">
            <v>张潇</v>
          </cell>
        </row>
        <row r="1083">
          <cell r="A1083">
            <v>1007</v>
          </cell>
        </row>
        <row r="1083">
          <cell r="C1083" t="str">
            <v>张潇</v>
          </cell>
        </row>
        <row r="1084">
          <cell r="A1084">
            <v>1009</v>
          </cell>
        </row>
        <row r="1084">
          <cell r="C1084" t="str">
            <v>张潇</v>
          </cell>
        </row>
        <row r="1085">
          <cell r="A1085">
            <v>1050</v>
          </cell>
        </row>
        <row r="1085">
          <cell r="C1085" t="str">
            <v>张潇</v>
          </cell>
        </row>
        <row r="1086">
          <cell r="A1086">
            <v>3376</v>
          </cell>
        </row>
        <row r="1086">
          <cell r="C1086" t="str">
            <v>张潇</v>
          </cell>
        </row>
        <row r="1087">
          <cell r="A1087">
            <v>1307</v>
          </cell>
        </row>
        <row r="1087">
          <cell r="C1087" t="str">
            <v>张潇</v>
          </cell>
        </row>
        <row r="1088">
          <cell r="A1088">
            <v>1585</v>
          </cell>
        </row>
        <row r="1088">
          <cell r="C1088" t="str">
            <v>张潇</v>
          </cell>
        </row>
        <row r="1089">
          <cell r="A1089">
            <v>1717</v>
          </cell>
        </row>
        <row r="1089">
          <cell r="C1089" t="str">
            <v>张潇</v>
          </cell>
        </row>
        <row r="1090">
          <cell r="A1090">
            <v>434</v>
          </cell>
        </row>
        <row r="1090">
          <cell r="C1090" t="str">
            <v>张潇</v>
          </cell>
        </row>
        <row r="1091">
          <cell r="A1091">
            <v>1775</v>
          </cell>
        </row>
        <row r="1091">
          <cell r="C1091" t="str">
            <v>张潇</v>
          </cell>
        </row>
        <row r="1092">
          <cell r="A1092">
            <v>3651</v>
          </cell>
        </row>
        <row r="1092">
          <cell r="C1092" t="str">
            <v>张潇</v>
          </cell>
        </row>
        <row r="1093">
          <cell r="A1093">
            <v>3626</v>
          </cell>
        </row>
        <row r="1093">
          <cell r="C1093" t="str">
            <v>张潇</v>
          </cell>
        </row>
        <row r="1094">
          <cell r="A1094">
            <v>3901</v>
          </cell>
        </row>
        <row r="1094">
          <cell r="C1094" t="str">
            <v>张潇</v>
          </cell>
        </row>
        <row r="1095">
          <cell r="A1095">
            <v>5007</v>
          </cell>
        </row>
        <row r="1095">
          <cell r="C1095" t="str">
            <v>张潇</v>
          </cell>
        </row>
        <row r="1096">
          <cell r="A1096">
            <v>3794</v>
          </cell>
        </row>
        <row r="1096">
          <cell r="C1096" t="str">
            <v>张潇</v>
          </cell>
        </row>
        <row r="1097">
          <cell r="A1097">
            <v>4056</v>
          </cell>
        </row>
        <row r="1097">
          <cell r="C1097" t="str">
            <v>张潇</v>
          </cell>
        </row>
        <row r="1098">
          <cell r="A1098">
            <v>4483</v>
          </cell>
        </row>
        <row r="1098">
          <cell r="C1098" t="str">
            <v>张潇</v>
          </cell>
        </row>
        <row r="1099">
          <cell r="A1099">
            <v>4802</v>
          </cell>
        </row>
        <row r="1099">
          <cell r="C1099" t="str">
            <v>张潇</v>
          </cell>
        </row>
        <row r="1100">
          <cell r="A1100">
            <v>4613</v>
          </cell>
        </row>
        <row r="1100">
          <cell r="C1100" t="str">
            <v>张潇</v>
          </cell>
        </row>
        <row r="1101">
          <cell r="A1101">
            <v>4536</v>
          </cell>
        </row>
        <row r="1101">
          <cell r="C1101" t="str">
            <v>张潇</v>
          </cell>
        </row>
        <row r="1102">
          <cell r="A1102">
            <v>6267</v>
          </cell>
        </row>
        <row r="1102">
          <cell r="C1102" t="str">
            <v>张潇</v>
          </cell>
        </row>
        <row r="1103">
          <cell r="A1103">
            <v>6027</v>
          </cell>
        </row>
        <row r="1103">
          <cell r="C1103" t="str">
            <v>张潇</v>
          </cell>
        </row>
        <row r="1104">
          <cell r="A1104">
            <v>5958</v>
          </cell>
        </row>
        <row r="1104">
          <cell r="C1104" t="str">
            <v>张潇</v>
          </cell>
        </row>
        <row r="1105">
          <cell r="A1105">
            <v>5993</v>
          </cell>
        </row>
        <row r="1105">
          <cell r="C1105" t="str">
            <v>张潇</v>
          </cell>
        </row>
        <row r="1106">
          <cell r="A1106">
            <v>4272</v>
          </cell>
        </row>
        <row r="1106">
          <cell r="C1106" t="str">
            <v>张潇</v>
          </cell>
        </row>
        <row r="1107">
          <cell r="A1107">
            <v>5618</v>
          </cell>
        </row>
        <row r="1107">
          <cell r="C1107" t="str">
            <v>张潇</v>
          </cell>
        </row>
        <row r="1108">
          <cell r="A1108">
            <v>5619</v>
          </cell>
        </row>
        <row r="1108">
          <cell r="C1108" t="str">
            <v>张潇</v>
          </cell>
        </row>
        <row r="1109">
          <cell r="A1109">
            <v>7242</v>
          </cell>
        </row>
        <row r="1109">
          <cell r="C1109" t="str">
            <v>张潇</v>
          </cell>
        </row>
        <row r="1110">
          <cell r="A1110">
            <v>6787</v>
          </cell>
        </row>
        <row r="1110">
          <cell r="C1110" t="str">
            <v>胡煜星</v>
          </cell>
        </row>
        <row r="1111">
          <cell r="A1111">
            <v>7686</v>
          </cell>
        </row>
        <row r="1111">
          <cell r="C1111" t="str">
            <v>张潇</v>
          </cell>
        </row>
        <row r="1112">
          <cell r="A1112">
            <v>7443</v>
          </cell>
        </row>
        <row r="1112">
          <cell r="C1112" t="str">
            <v>张潇</v>
          </cell>
        </row>
        <row r="1113">
          <cell r="A1113">
            <v>8354</v>
          </cell>
        </row>
        <row r="1113">
          <cell r="C1113" t="str">
            <v>张潇</v>
          </cell>
        </row>
        <row r="1114">
          <cell r="A1114">
            <v>7965</v>
          </cell>
        </row>
        <row r="1114">
          <cell r="C1114" t="str">
            <v>张潇</v>
          </cell>
        </row>
        <row r="1115">
          <cell r="A1115">
            <v>5079</v>
          </cell>
        </row>
        <row r="1115">
          <cell r="C1115" t="str">
            <v>张潇</v>
          </cell>
        </row>
        <row r="1116">
          <cell r="A1116">
            <v>5439</v>
          </cell>
        </row>
        <row r="1116">
          <cell r="C1116" t="str">
            <v>张潇</v>
          </cell>
        </row>
        <row r="1117">
          <cell r="A1117">
            <v>5509</v>
          </cell>
        </row>
        <row r="1117">
          <cell r="C1117" t="str">
            <v>张潇</v>
          </cell>
        </row>
        <row r="1118">
          <cell r="A1118">
            <v>357</v>
          </cell>
        </row>
        <row r="1118">
          <cell r="C1118" t="str">
            <v>张潇</v>
          </cell>
        </row>
        <row r="1119">
          <cell r="A1119">
            <v>6531</v>
          </cell>
        </row>
        <row r="1119">
          <cell r="C1119" t="str">
            <v>张潇</v>
          </cell>
        </row>
        <row r="1120">
          <cell r="A1120">
            <v>6532</v>
          </cell>
        </row>
        <row r="1120">
          <cell r="C1120" t="str">
            <v>张潇</v>
          </cell>
        </row>
        <row r="1121">
          <cell r="A1121">
            <v>6977</v>
          </cell>
        </row>
        <row r="1121">
          <cell r="C1121" t="str">
            <v>张潇</v>
          </cell>
        </row>
        <row r="1122">
          <cell r="A1122">
            <v>8350</v>
          </cell>
        </row>
        <row r="1122">
          <cell r="C1122" t="str">
            <v>张潇</v>
          </cell>
        </row>
        <row r="1123">
          <cell r="A1123">
            <v>491</v>
          </cell>
        </row>
        <row r="1123">
          <cell r="C1123" t="str">
            <v>张潇</v>
          </cell>
        </row>
        <row r="1124">
          <cell r="A1124">
            <v>1212</v>
          </cell>
        </row>
        <row r="1124">
          <cell r="C1124" t="str">
            <v>张潇</v>
          </cell>
        </row>
        <row r="1125">
          <cell r="A1125">
            <v>3900</v>
          </cell>
        </row>
        <row r="1125">
          <cell r="C1125" t="str">
            <v>张潇</v>
          </cell>
        </row>
        <row r="1126">
          <cell r="A1126">
            <v>3516</v>
          </cell>
        </row>
        <row r="1126">
          <cell r="C1126" t="str">
            <v>张潇</v>
          </cell>
        </row>
        <row r="1127">
          <cell r="A1127">
            <v>1753</v>
          </cell>
        </row>
        <row r="1127">
          <cell r="C1127" t="str">
            <v>张潇</v>
          </cell>
        </row>
        <row r="1128">
          <cell r="A1128">
            <v>1437</v>
          </cell>
        </row>
        <row r="1128">
          <cell r="C1128" t="str">
            <v>胡煜星</v>
          </cell>
        </row>
        <row r="1129">
          <cell r="A1129">
            <v>6465</v>
          </cell>
        </row>
        <row r="1129">
          <cell r="C1129" t="str">
            <v>张潇</v>
          </cell>
        </row>
        <row r="1130">
          <cell r="A1130">
            <v>6559</v>
          </cell>
        </row>
        <row r="1130">
          <cell r="C1130" t="str">
            <v>张潇</v>
          </cell>
        </row>
        <row r="1131">
          <cell r="A1131">
            <v>6990</v>
          </cell>
        </row>
        <row r="1131">
          <cell r="C1131" t="str">
            <v>张潇</v>
          </cell>
        </row>
        <row r="1132">
          <cell r="A1132">
            <v>6991</v>
          </cell>
        </row>
        <row r="1132">
          <cell r="C1132" t="str">
            <v>张潇</v>
          </cell>
        </row>
        <row r="1133">
          <cell r="A1133">
            <v>7103</v>
          </cell>
        </row>
        <row r="1133">
          <cell r="C1133" t="str">
            <v>张潇</v>
          </cell>
        </row>
        <row r="1134">
          <cell r="A1134">
            <v>7486</v>
          </cell>
        </row>
        <row r="1134">
          <cell r="C1134" t="str">
            <v>张潇</v>
          </cell>
        </row>
        <row r="1135">
          <cell r="A1135">
            <v>7918</v>
          </cell>
        </row>
        <row r="1135">
          <cell r="C1135" t="str">
            <v>张潇</v>
          </cell>
        </row>
        <row r="1136">
          <cell r="A1136">
            <v>8053</v>
          </cell>
        </row>
        <row r="1136">
          <cell r="C1136" t="str">
            <v>胡煜星</v>
          </cell>
        </row>
        <row r="1137">
          <cell r="A1137">
            <v>8088</v>
          </cell>
        </row>
        <row r="1137">
          <cell r="C1137" t="str">
            <v>张潇</v>
          </cell>
        </row>
        <row r="1138">
          <cell r="A1138">
            <v>8124</v>
          </cell>
        </row>
        <row r="1138">
          <cell r="C1138" t="str">
            <v>张潇</v>
          </cell>
        </row>
        <row r="1139">
          <cell r="A1139">
            <v>8127</v>
          </cell>
        </row>
        <row r="1139">
          <cell r="C1139" t="str">
            <v>张潇</v>
          </cell>
        </row>
        <row r="1140">
          <cell r="A1140">
            <v>8201</v>
          </cell>
        </row>
        <row r="1140">
          <cell r="C1140" t="str">
            <v>张潇</v>
          </cell>
        </row>
        <row r="1141">
          <cell r="A1141">
            <v>8213</v>
          </cell>
        </row>
        <row r="1141">
          <cell r="C1141" t="str">
            <v>张潇</v>
          </cell>
        </row>
        <row r="1142">
          <cell r="A1142">
            <v>8277</v>
          </cell>
        </row>
        <row r="1142">
          <cell r="C1142" t="str">
            <v>张潇</v>
          </cell>
        </row>
        <row r="1143">
          <cell r="A1143">
            <v>8307</v>
          </cell>
        </row>
        <row r="1143">
          <cell r="C1143" t="str">
            <v>张潇</v>
          </cell>
        </row>
        <row r="1144">
          <cell r="A1144">
            <v>8333</v>
          </cell>
        </row>
        <row r="1144">
          <cell r="C1144" t="str">
            <v>张潇</v>
          </cell>
        </row>
        <row r="1145">
          <cell r="A1145">
            <v>8338</v>
          </cell>
        </row>
        <row r="1145">
          <cell r="C1145" t="str">
            <v>张潇</v>
          </cell>
        </row>
        <row r="1146">
          <cell r="A1146">
            <v>8359</v>
          </cell>
        </row>
        <row r="1146">
          <cell r="C1146" t="str">
            <v>张潇</v>
          </cell>
        </row>
        <row r="1147">
          <cell r="A1147">
            <v>8366</v>
          </cell>
        </row>
        <row r="1147">
          <cell r="C1147" t="str">
            <v>张潇</v>
          </cell>
        </row>
        <row r="1148">
          <cell r="A1148">
            <v>8373</v>
          </cell>
        </row>
        <row r="1148">
          <cell r="C1148" t="str">
            <v>张潇</v>
          </cell>
        </row>
        <row r="1149">
          <cell r="A1149">
            <v>8429</v>
          </cell>
        </row>
        <row r="1149">
          <cell r="C1149" t="str">
            <v>张潇</v>
          </cell>
        </row>
        <row r="1150">
          <cell r="A1150">
            <v>8483</v>
          </cell>
        </row>
        <row r="1150">
          <cell r="C1150" t="str">
            <v>张潇</v>
          </cell>
        </row>
        <row r="1151">
          <cell r="A1151">
            <v>467</v>
          </cell>
        </row>
        <row r="1151">
          <cell r="C1151" t="str">
            <v>张潇</v>
          </cell>
        </row>
        <row r="1152">
          <cell r="A1152">
            <v>12461</v>
          </cell>
        </row>
        <row r="1152">
          <cell r="C1152" t="str">
            <v>俞东旭</v>
          </cell>
        </row>
        <row r="1153">
          <cell r="A1153">
            <v>12489</v>
          </cell>
        </row>
        <row r="1153">
          <cell r="C1153" t="str">
            <v>俞东旭</v>
          </cell>
        </row>
        <row r="1154">
          <cell r="A1154">
            <v>12480</v>
          </cell>
        </row>
        <row r="1154">
          <cell r="C1154" t="str">
            <v>张潇</v>
          </cell>
        </row>
        <row r="1155">
          <cell r="A1155">
            <v>12558</v>
          </cell>
        </row>
        <row r="1155">
          <cell r="C1155" t="str">
            <v>朱培源</v>
          </cell>
        </row>
        <row r="1156">
          <cell r="A1156">
            <v>12473</v>
          </cell>
        </row>
        <row r="1156">
          <cell r="C1156" t="str">
            <v>张潇</v>
          </cell>
        </row>
        <row r="1157">
          <cell r="A1157">
            <v>12464</v>
          </cell>
        </row>
        <row r="1157">
          <cell r="C1157" t="str">
            <v>俞东旭</v>
          </cell>
        </row>
        <row r="1158">
          <cell r="A1158">
            <v>12540</v>
          </cell>
        </row>
        <row r="1158">
          <cell r="C1158" t="str">
            <v>胡煜星</v>
          </cell>
        </row>
        <row r="1159">
          <cell r="A1159">
            <v>12541</v>
          </cell>
        </row>
        <row r="1159">
          <cell r="C1159" t="str">
            <v>胡煜星</v>
          </cell>
        </row>
        <row r="1160">
          <cell r="A1160">
            <v>12542</v>
          </cell>
        </row>
        <row r="1160">
          <cell r="C1160" t="str">
            <v>胡煜星</v>
          </cell>
        </row>
        <row r="1161">
          <cell r="A1161">
            <v>12543</v>
          </cell>
        </row>
        <row r="1161">
          <cell r="C1161" t="str">
            <v>胡煜星</v>
          </cell>
        </row>
        <row r="1162">
          <cell r="A1162">
            <v>12544</v>
          </cell>
        </row>
        <row r="1162">
          <cell r="C1162" t="str">
            <v>张潇</v>
          </cell>
        </row>
        <row r="1163">
          <cell r="A1163">
            <v>12612</v>
          </cell>
        </row>
        <row r="1163">
          <cell r="C1163" t="str">
            <v>章鹏</v>
          </cell>
        </row>
        <row r="1164">
          <cell r="A1164">
            <v>12651</v>
          </cell>
        </row>
        <row r="1164">
          <cell r="C1164" t="str">
            <v>张潇</v>
          </cell>
        </row>
        <row r="1165">
          <cell r="A1165">
            <v>12604</v>
          </cell>
        </row>
        <row r="1165">
          <cell r="C1165" t="str">
            <v>王偲涵</v>
          </cell>
        </row>
        <row r="1166">
          <cell r="A1166">
            <v>12526</v>
          </cell>
        </row>
        <row r="1166">
          <cell r="C1166" t="str">
            <v>王偲涵</v>
          </cell>
        </row>
        <row r="1167">
          <cell r="A1167">
            <v>12590</v>
          </cell>
        </row>
        <row r="1167">
          <cell r="C1167" t="str">
            <v>王偲涵</v>
          </cell>
        </row>
        <row r="1168">
          <cell r="A1168">
            <v>12586</v>
          </cell>
        </row>
        <row r="1168">
          <cell r="C1168" t="str">
            <v>朱培源</v>
          </cell>
        </row>
        <row r="1169">
          <cell r="A1169">
            <v>12615</v>
          </cell>
        </row>
        <row r="1169">
          <cell r="C1169" t="str">
            <v>王偲涵</v>
          </cell>
        </row>
        <row r="1170">
          <cell r="A1170">
            <v>12616</v>
          </cell>
        </row>
        <row r="1170">
          <cell r="C1170" t="str">
            <v>王偲涵</v>
          </cell>
        </row>
        <row r="1171">
          <cell r="A1171">
            <v>12572</v>
          </cell>
        </row>
        <row r="1171">
          <cell r="C1171" t="str">
            <v>胡煜星</v>
          </cell>
        </row>
        <row r="1172">
          <cell r="A1172">
            <v>12573</v>
          </cell>
        </row>
        <row r="1172">
          <cell r="C1172" t="str">
            <v>胡煜星</v>
          </cell>
        </row>
        <row r="1173">
          <cell r="A1173">
            <v>12650</v>
          </cell>
        </row>
        <row r="1173">
          <cell r="C1173" t="str">
            <v>张潇</v>
          </cell>
        </row>
        <row r="1174">
          <cell r="A1174">
            <v>12649</v>
          </cell>
        </row>
        <row r="1174">
          <cell r="C1174" t="str">
            <v>张潇</v>
          </cell>
        </row>
        <row r="1175">
          <cell r="A1175">
            <v>12629</v>
          </cell>
        </row>
        <row r="1175">
          <cell r="C1175" t="str">
            <v>王偲涵</v>
          </cell>
        </row>
        <row r="1176">
          <cell r="A1176">
            <v>12591</v>
          </cell>
        </row>
        <row r="1176">
          <cell r="C1176" t="str">
            <v>王偲涵</v>
          </cell>
        </row>
        <row r="1177">
          <cell r="A1177">
            <v>12606</v>
          </cell>
        </row>
        <row r="1177">
          <cell r="C1177" t="str">
            <v>王偲涵</v>
          </cell>
        </row>
        <row r="1178">
          <cell r="A1178">
            <v>12614</v>
          </cell>
        </row>
        <row r="1178">
          <cell r="C1178" t="str">
            <v>朱培源</v>
          </cell>
        </row>
        <row r="1179">
          <cell r="A1179">
            <v>12632</v>
          </cell>
        </row>
        <row r="1179">
          <cell r="C1179" t="str">
            <v>俞东旭</v>
          </cell>
        </row>
        <row r="1180">
          <cell r="A1180">
            <v>12631</v>
          </cell>
        </row>
        <row r="1180">
          <cell r="C1180" t="str">
            <v>俞东旭</v>
          </cell>
        </row>
        <row r="1181">
          <cell r="A1181">
            <v>12630</v>
          </cell>
        </row>
        <row r="1181">
          <cell r="C1181" t="str">
            <v>俞东旭</v>
          </cell>
        </row>
        <row r="1182">
          <cell r="A1182">
            <v>12587</v>
          </cell>
        </row>
        <row r="1182">
          <cell r="C1182" t="str">
            <v>章鹏</v>
          </cell>
        </row>
        <row r="1183">
          <cell r="A1183">
            <v>12569</v>
          </cell>
        </row>
        <row r="1183">
          <cell r="C1183" t="str">
            <v>张潇</v>
          </cell>
        </row>
        <row r="1184">
          <cell r="A1184">
            <v>12575</v>
          </cell>
        </row>
        <row r="1184">
          <cell r="C1184" t="str">
            <v>胡煜星</v>
          </cell>
        </row>
        <row r="1185">
          <cell r="A1185">
            <v>12574</v>
          </cell>
        </row>
        <row r="1185">
          <cell r="C1185" t="str">
            <v>胡煜星</v>
          </cell>
        </row>
        <row r="1186">
          <cell r="A1186">
            <v>12532</v>
          </cell>
        </row>
        <row r="1186">
          <cell r="C1186" t="str">
            <v>朱培源</v>
          </cell>
        </row>
        <row r="1187">
          <cell r="A1187">
            <v>12713</v>
          </cell>
        </row>
        <row r="1187">
          <cell r="C1187" t="str">
            <v>朱培源</v>
          </cell>
        </row>
        <row r="1188">
          <cell r="A1188">
            <v>12732</v>
          </cell>
        </row>
        <row r="1188">
          <cell r="C1188" t="str">
            <v>章鹏</v>
          </cell>
        </row>
        <row r="1189">
          <cell r="A1189">
            <v>12658</v>
          </cell>
        </row>
        <row r="1189">
          <cell r="C1189" t="str">
            <v>张潇</v>
          </cell>
        </row>
        <row r="1190">
          <cell r="A1190">
            <v>12741</v>
          </cell>
        </row>
        <row r="1190">
          <cell r="C1190" t="str">
            <v>胡煜星</v>
          </cell>
        </row>
        <row r="1191">
          <cell r="A1191">
            <v>12740</v>
          </cell>
        </row>
        <row r="1191">
          <cell r="C1191" t="str">
            <v>胡煜星</v>
          </cell>
        </row>
        <row r="1192">
          <cell r="A1192">
            <v>12743</v>
          </cell>
        </row>
        <row r="1192">
          <cell r="C1192" t="str">
            <v>张潇</v>
          </cell>
        </row>
        <row r="1193">
          <cell r="A1193">
            <v>12742</v>
          </cell>
        </row>
        <row r="1193">
          <cell r="C1193" t="str">
            <v>张潇</v>
          </cell>
        </row>
        <row r="1194">
          <cell r="A1194">
            <v>12595</v>
          </cell>
        </row>
        <row r="1194">
          <cell r="C1194" t="str">
            <v>王偲涵</v>
          </cell>
        </row>
        <row r="1195">
          <cell r="A1195">
            <v>12588</v>
          </cell>
        </row>
        <row r="1195">
          <cell r="C1195" t="str">
            <v>王偲涵</v>
          </cell>
        </row>
        <row r="1196">
          <cell r="A1196">
            <v>12596</v>
          </cell>
        </row>
        <row r="1196">
          <cell r="C1196" t="str">
            <v>俞东旭</v>
          </cell>
        </row>
        <row r="1197">
          <cell r="A1197">
            <v>12589</v>
          </cell>
        </row>
        <row r="1197">
          <cell r="C1197" t="str">
            <v>俞东旭</v>
          </cell>
        </row>
        <row r="1198">
          <cell r="A1198">
            <v>12597</v>
          </cell>
        </row>
        <row r="1198">
          <cell r="C1198" t="str">
            <v>王偲涵</v>
          </cell>
        </row>
        <row r="1199">
          <cell r="A1199">
            <v>12598</v>
          </cell>
        </row>
        <row r="1199">
          <cell r="C1199" t="str">
            <v>王偲涵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累计数据"/>
      <sheetName val="透视筛选"/>
      <sheetName val="4.9-4.15"/>
      <sheetName val="4.16-4.22"/>
      <sheetName val="4.23-4.29"/>
      <sheetName val="4.30-5.6"/>
    </sheetNames>
    <sheetDataSet>
      <sheetData sheetId="0">
        <row r="193">
          <cell r="C193" t="str">
            <v>LYAM-X2804</v>
          </cell>
        </row>
        <row r="194">
          <cell r="C194" t="str">
            <v>LYAP-X2324</v>
          </cell>
        </row>
        <row r="195">
          <cell r="C195" t="str">
            <v>LYAP-X1872</v>
          </cell>
        </row>
        <row r="196">
          <cell r="C196" t="str">
            <v>LYAP-X2190-R</v>
          </cell>
        </row>
        <row r="197">
          <cell r="C197" t="str">
            <v>LYAP-X1909</v>
          </cell>
        </row>
        <row r="198">
          <cell r="C198" t="str">
            <v>LYAM-X2428-C</v>
          </cell>
        </row>
        <row r="199">
          <cell r="C199" t="str">
            <v>LYAP-X1665-2R</v>
          </cell>
        </row>
        <row r="200">
          <cell r="C200" t="str">
            <v>LYAP-X1665-1</v>
          </cell>
        </row>
        <row r="201">
          <cell r="C201" t="str">
            <v>LYAP-X2530</v>
          </cell>
        </row>
        <row r="202">
          <cell r="C202" t="str">
            <v>LYAM-X2443</v>
          </cell>
        </row>
        <row r="203">
          <cell r="C203" t="str">
            <v>LYAP-X2412</v>
          </cell>
        </row>
        <row r="204">
          <cell r="C204" t="str">
            <v>MD-002-RR</v>
          </cell>
        </row>
        <row r="205">
          <cell r="C205" t="str">
            <v>LYAP-X2319</v>
          </cell>
        </row>
        <row r="206">
          <cell r="C206" t="str">
            <v>LYAP-X1963</v>
          </cell>
        </row>
        <row r="207">
          <cell r="C207" t="str">
            <v>LYAP-X2307</v>
          </cell>
        </row>
        <row r="208">
          <cell r="C208" t="str">
            <v>LYAP-838</v>
          </cell>
        </row>
        <row r="209">
          <cell r="C209" t="str">
            <v>LYAM-X2254-L</v>
          </cell>
        </row>
        <row r="210">
          <cell r="C210" t="str">
            <v>LYAM-X2452-SL</v>
          </cell>
        </row>
        <row r="211">
          <cell r="C211" t="str">
            <v>LYAP-X2527</v>
          </cell>
        </row>
        <row r="212">
          <cell r="C212" t="str">
            <v>LYAP-X2385</v>
          </cell>
        </row>
        <row r="213">
          <cell r="C213" t="str">
            <v>LYAP-X1676</v>
          </cell>
        </row>
        <row r="214">
          <cell r="C214" t="str">
            <v>LYAP-X2190-L</v>
          </cell>
        </row>
        <row r="215">
          <cell r="C215" t="str">
            <v>LYAP-X2318</v>
          </cell>
        </row>
        <row r="216">
          <cell r="C216" t="str">
            <v>LYAP-X2310</v>
          </cell>
        </row>
        <row r="217">
          <cell r="C217" t="str">
            <v>LYAP-X2317-R</v>
          </cell>
        </row>
        <row r="218">
          <cell r="C218" t="str">
            <v>LYAP-X2316</v>
          </cell>
        </row>
        <row r="219">
          <cell r="C219" t="str">
            <v>LYAP-X1665-1R</v>
          </cell>
        </row>
        <row r="220">
          <cell r="C220" t="str">
            <v>LYAP-X2317</v>
          </cell>
        </row>
        <row r="221">
          <cell r="C221" t="str">
            <v>LYAM-X2439</v>
          </cell>
        </row>
        <row r="222">
          <cell r="C222" t="str">
            <v>LYAP-X2148-1R</v>
          </cell>
        </row>
        <row r="223">
          <cell r="C223" t="str">
            <v>LYAP-X2148-1L</v>
          </cell>
        </row>
        <row r="224">
          <cell r="C224" t="str">
            <v>LYAM-X2460</v>
          </cell>
        </row>
        <row r="225">
          <cell r="C225" t="str">
            <v>LYAP-X2317-L</v>
          </cell>
        </row>
        <row r="226">
          <cell r="C226" t="str">
            <v>LYAP-X1879</v>
          </cell>
        </row>
        <row r="227">
          <cell r="C227" t="str">
            <v>LYAP-X2310-L</v>
          </cell>
        </row>
        <row r="228">
          <cell r="C228" t="str">
            <v>LYAP-X2148-1R</v>
          </cell>
        </row>
        <row r="229">
          <cell r="C229" t="str">
            <v>LYAP-X2190-L</v>
          </cell>
        </row>
        <row r="230">
          <cell r="C230" t="str">
            <v>LYAP-X1665-1L</v>
          </cell>
        </row>
        <row r="231">
          <cell r="C231" t="str">
            <v>LYAP-X2210-C</v>
          </cell>
        </row>
        <row r="232">
          <cell r="C232" t="str">
            <v>LYAP-X2210-C</v>
          </cell>
        </row>
        <row r="233">
          <cell r="C233" t="str">
            <v>LYAP-X2148-1L</v>
          </cell>
        </row>
        <row r="234">
          <cell r="C234" t="str">
            <v>LYAM-X2895</v>
          </cell>
        </row>
        <row r="235">
          <cell r="C235" t="str">
            <v>LYAP-X2310-R</v>
          </cell>
        </row>
        <row r="236">
          <cell r="C236" t="str">
            <v>LYAP-X2190-R</v>
          </cell>
        </row>
        <row r="237">
          <cell r="C237" t="str">
            <v>LYAP-X1966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37"/>
  <sheetViews>
    <sheetView tabSelected="1" topLeftCell="B217" workbookViewId="0">
      <selection activeCell="A95" sqref="$A1:$XFD1048576"/>
    </sheetView>
  </sheetViews>
  <sheetFormatPr defaultColWidth="8.8" defaultRowHeight="13.5"/>
  <cols>
    <col min="1" max="1" width="13.0083333333333" customWidth="1"/>
    <col min="2" max="2" width="33.275" customWidth="1"/>
    <col min="3" max="4" width="16.6333333333333" customWidth="1"/>
    <col min="5" max="5" width="26.8166666666667" customWidth="1"/>
    <col min="6" max="6" width="14.6333333333333" customWidth="1"/>
    <col min="7" max="7" width="17.0083333333333" style="75" customWidth="1"/>
    <col min="8" max="8" width="17.0083333333333" customWidth="1"/>
    <col min="9" max="9" width="14.1" customWidth="1"/>
    <col min="10" max="10" width="9.00833333333333" customWidth="1"/>
    <col min="11" max="11" width="13.0083333333333" customWidth="1"/>
    <col min="12" max="14" width="15.0083333333333" customWidth="1"/>
    <col min="15" max="15" width="13.0083333333333" customWidth="1"/>
    <col min="16" max="17" width="15.0083333333333" customWidth="1"/>
    <col min="18" max="18" width="11.7333333333333" customWidth="1"/>
    <col min="19" max="19" width="12.4666666666667" customWidth="1"/>
    <col min="20" max="24" width="11.7333333333333" customWidth="1"/>
  </cols>
  <sheetData>
    <row r="1" ht="22.5" customHeight="1" spans="1:39">
      <c r="A1" s="76" t="s">
        <v>0</v>
      </c>
      <c r="B1" s="76" t="s">
        <v>1</v>
      </c>
      <c r="C1" s="77" t="s">
        <v>2</v>
      </c>
      <c r="D1" s="77" t="s">
        <v>3</v>
      </c>
      <c r="E1" s="78" t="s">
        <v>4</v>
      </c>
      <c r="F1" s="76" t="s">
        <v>5</v>
      </c>
      <c r="G1" s="79" t="s">
        <v>6</v>
      </c>
      <c r="H1" s="77" t="s">
        <v>7</v>
      </c>
      <c r="I1" s="77" t="s">
        <v>8</v>
      </c>
      <c r="J1" s="80" t="s">
        <v>9</v>
      </c>
      <c r="K1" s="80" t="s">
        <v>10</v>
      </c>
      <c r="L1" s="77" t="s">
        <v>11</v>
      </c>
      <c r="M1" s="77" t="s">
        <v>12</v>
      </c>
      <c r="N1" s="77" t="s">
        <v>13</v>
      </c>
      <c r="O1" s="81" t="s">
        <v>14</v>
      </c>
      <c r="P1" s="82" t="s">
        <v>15</v>
      </c>
      <c r="Q1" s="83" t="s">
        <v>16</v>
      </c>
      <c r="R1" s="76" t="s">
        <v>17</v>
      </c>
      <c r="S1" s="84" t="s">
        <v>18</v>
      </c>
      <c r="T1" s="84" t="s">
        <v>19</v>
      </c>
      <c r="U1" s="85" t="s">
        <v>20</v>
      </c>
      <c r="V1" s="85" t="s">
        <v>21</v>
      </c>
      <c r="W1" s="86" t="s">
        <v>22</v>
      </c>
      <c r="X1" s="86" t="s">
        <v>23</v>
      </c>
      <c r="Y1" s="87"/>
      <c r="Z1" s="88"/>
      <c r="AA1" s="88"/>
      <c r="AB1" s="87"/>
      <c r="AC1" s="88"/>
      <c r="AD1" s="88"/>
      <c r="AE1" s="88"/>
      <c r="AF1" s="88"/>
      <c r="AG1" s="88"/>
      <c r="AH1" s="88"/>
      <c r="AI1" s="88"/>
      <c r="AJ1" s="87"/>
      <c r="AK1" s="89"/>
      <c r="AL1" s="89"/>
      <c r="AM1" s="89"/>
    </row>
    <row r="2" ht="22.5" customHeight="1" spans="1:39">
      <c r="A2" s="90" t="s">
        <v>24</v>
      </c>
      <c r="B2" s="91" t="s">
        <v>25</v>
      </c>
      <c r="C2" s="91" t="s">
        <v>26</v>
      </c>
      <c r="D2" s="91"/>
      <c r="E2" s="91"/>
      <c r="F2" s="91">
        <v>56</v>
      </c>
      <c r="G2" s="91"/>
      <c r="H2" s="91"/>
      <c r="I2" s="91"/>
      <c r="J2" s="90" t="s">
        <v>27</v>
      </c>
      <c r="K2" s="91"/>
      <c r="L2" s="92">
        <v>96271</v>
      </c>
      <c r="M2" s="92">
        <v>458</v>
      </c>
      <c r="N2" s="92">
        <v>54</v>
      </c>
      <c r="O2" s="93">
        <v>212.88</v>
      </c>
      <c r="P2" s="93">
        <v>5581.27</v>
      </c>
      <c r="Q2" s="93"/>
      <c r="R2" s="94">
        <v>26.2179161969184</v>
      </c>
      <c r="S2" s="95">
        <v>0.117903930131004</v>
      </c>
      <c r="T2" s="95">
        <v>0.00475740357947876</v>
      </c>
      <c r="U2" s="94">
        <v>0.464803493449782</v>
      </c>
      <c r="V2" s="94">
        <v>3.94222222222222</v>
      </c>
      <c r="W2" s="95">
        <v>0.0381418566025295</v>
      </c>
      <c r="X2" s="96"/>
    </row>
    <row r="3" ht="22.5" customHeight="1" spans="1:39">
      <c r="A3" s="97" t="s">
        <v>24</v>
      </c>
      <c r="B3" s="98" t="s">
        <v>28</v>
      </c>
      <c r="C3" s="98" t="s">
        <v>29</v>
      </c>
      <c r="D3" s="98" t="s">
        <v>30</v>
      </c>
      <c r="E3" s="98" t="s">
        <v>31</v>
      </c>
      <c r="F3" s="99">
        <v>46114</v>
      </c>
      <c r="G3" s="100">
        <v>46108</v>
      </c>
      <c r="H3" s="100">
        <v>46114</v>
      </c>
      <c r="I3" s="100" t="s">
        <v>32</v>
      </c>
      <c r="J3" s="100" t="s">
        <v>33</v>
      </c>
      <c r="K3" s="100" t="s">
        <v>34</v>
      </c>
      <c r="L3" s="98">
        <v>845</v>
      </c>
      <c r="M3" s="98">
        <v>27</v>
      </c>
      <c r="N3" s="98">
        <v>12</v>
      </c>
      <c r="O3" s="101">
        <v>10.66</v>
      </c>
      <c r="P3" s="101">
        <v>454.26</v>
      </c>
      <c r="Q3" s="101"/>
      <c r="R3" s="102">
        <v>42.6135084427767</v>
      </c>
      <c r="S3" s="103">
        <v>0.444444444444444</v>
      </c>
      <c r="T3" s="103">
        <v>0.0319526627218935</v>
      </c>
      <c r="U3" s="102">
        <v>0.394814814814815</v>
      </c>
      <c r="V3" s="102">
        <v>0.888333333333333</v>
      </c>
      <c r="W3" s="103">
        <v>0.0234667371109057</v>
      </c>
      <c r="X3" s="103"/>
    </row>
    <row r="4" ht="22.5" customHeight="1" spans="1:39">
      <c r="A4" s="97" t="s">
        <v>24</v>
      </c>
      <c r="B4" s="98" t="s">
        <v>35</v>
      </c>
      <c r="C4" s="98" t="s">
        <v>36</v>
      </c>
      <c r="D4" s="98" t="s">
        <v>37</v>
      </c>
      <c r="E4" s="98" t="s">
        <v>38</v>
      </c>
      <c r="F4" s="99">
        <v>46077</v>
      </c>
      <c r="G4" s="100">
        <v>46066</v>
      </c>
      <c r="H4" s="100">
        <v>46070</v>
      </c>
      <c r="I4" s="100" t="s">
        <v>32</v>
      </c>
      <c r="J4" s="100" t="s">
        <v>39</v>
      </c>
      <c r="K4" s="100" t="s">
        <v>34</v>
      </c>
      <c r="L4" s="98">
        <v>5784</v>
      </c>
      <c r="M4" s="98">
        <v>18</v>
      </c>
      <c r="N4" s="98">
        <v>6</v>
      </c>
      <c r="O4" s="101">
        <v>8.26</v>
      </c>
      <c r="P4" s="101">
        <v>453.09</v>
      </c>
      <c r="Q4" s="101"/>
      <c r="R4" s="102">
        <v>54.8535108958838</v>
      </c>
      <c r="S4" s="103">
        <v>0.333333333333333</v>
      </c>
      <c r="T4" s="103">
        <v>0.00311203319502075</v>
      </c>
      <c r="U4" s="102">
        <v>0.458888888888889</v>
      </c>
      <c r="V4" s="102">
        <v>1.37666666666667</v>
      </c>
      <c r="W4" s="103">
        <v>0.0182303736564479</v>
      </c>
      <c r="X4" s="103"/>
    </row>
    <row r="5" ht="22.5" customHeight="1" spans="1:39">
      <c r="A5" s="97" t="s">
        <v>24</v>
      </c>
      <c r="B5" s="98" t="s">
        <v>40</v>
      </c>
      <c r="C5" s="98" t="s">
        <v>41</v>
      </c>
      <c r="D5" s="98" t="s">
        <v>42</v>
      </c>
      <c r="E5" s="98" t="s">
        <v>43</v>
      </c>
      <c r="F5" s="99">
        <v>46083</v>
      </c>
      <c r="G5" s="100">
        <v>46062</v>
      </c>
      <c r="H5" s="100">
        <v>46068</v>
      </c>
      <c r="I5" s="100" t="s">
        <v>32</v>
      </c>
      <c r="J5" s="100" t="s">
        <v>44</v>
      </c>
      <c r="K5" s="100" t="s">
        <v>45</v>
      </c>
      <c r="L5" s="98">
        <v>5333</v>
      </c>
      <c r="M5" s="98">
        <v>50</v>
      </c>
      <c r="N5" s="98">
        <v>4</v>
      </c>
      <c r="O5" s="101">
        <v>20.21</v>
      </c>
      <c r="P5" s="101">
        <v>211.69</v>
      </c>
      <c r="Q5" s="101"/>
      <c r="R5" s="102">
        <v>10.4745175655616</v>
      </c>
      <c r="S5" s="103">
        <v>0.08</v>
      </c>
      <c r="T5" s="103">
        <v>0.00937558597412338</v>
      </c>
      <c r="U5" s="102">
        <v>0.4042</v>
      </c>
      <c r="V5" s="102">
        <v>5.0525</v>
      </c>
      <c r="W5" s="103">
        <v>0.0954697907317304</v>
      </c>
      <c r="X5" s="103"/>
    </row>
    <row r="6" ht="22.5" customHeight="1" spans="1:39">
      <c r="A6" s="97" t="s">
        <v>24</v>
      </c>
      <c r="B6" s="98" t="s">
        <v>35</v>
      </c>
      <c r="C6" s="98" t="s">
        <v>46</v>
      </c>
      <c r="D6" s="98" t="s">
        <v>47</v>
      </c>
      <c r="E6" s="98" t="s">
        <v>38</v>
      </c>
      <c r="F6" s="99">
        <v>46077</v>
      </c>
      <c r="G6" s="100">
        <v>46066</v>
      </c>
      <c r="H6" s="100">
        <v>46077</v>
      </c>
      <c r="I6" s="100" t="s">
        <v>32</v>
      </c>
      <c r="J6" s="100" t="s">
        <v>39</v>
      </c>
      <c r="K6" s="100" t="s">
        <v>34</v>
      </c>
      <c r="L6" s="98">
        <v>8199</v>
      </c>
      <c r="M6" s="98">
        <v>20</v>
      </c>
      <c r="N6" s="98">
        <v>4</v>
      </c>
      <c r="O6" s="101">
        <v>8.52</v>
      </c>
      <c r="P6" s="101">
        <v>295.23</v>
      </c>
      <c r="Q6" s="101"/>
      <c r="R6" s="102">
        <v>34.6514084507042</v>
      </c>
      <c r="S6" s="103">
        <v>0.2</v>
      </c>
      <c r="T6" s="103">
        <v>0.00243932186852055</v>
      </c>
      <c r="U6" s="102">
        <v>0.426</v>
      </c>
      <c r="V6" s="102">
        <v>2.13</v>
      </c>
      <c r="W6" s="103">
        <v>0.0288588558073366</v>
      </c>
      <c r="X6" s="103"/>
    </row>
    <row r="7" ht="22.5" customHeight="1" spans="1:39">
      <c r="A7" s="97" t="s">
        <v>24</v>
      </c>
      <c r="B7" s="98" t="s">
        <v>48</v>
      </c>
      <c r="C7" s="98" t="s">
        <v>49</v>
      </c>
      <c r="D7" s="98" t="s">
        <v>50</v>
      </c>
      <c r="E7" s="98" t="s">
        <v>38</v>
      </c>
      <c r="F7" s="99">
        <v>46087</v>
      </c>
      <c r="G7" s="100">
        <v>46085</v>
      </c>
      <c r="H7" s="100">
        <v>46086</v>
      </c>
      <c r="I7" s="100" t="s">
        <v>51</v>
      </c>
      <c r="J7" s="100" t="s">
        <v>52</v>
      </c>
      <c r="K7" s="100" t="s">
        <v>34</v>
      </c>
      <c r="L7" s="98">
        <v>7336</v>
      </c>
      <c r="M7" s="98">
        <v>37</v>
      </c>
      <c r="N7" s="98">
        <v>3</v>
      </c>
      <c r="O7" s="101">
        <v>10.08</v>
      </c>
      <c r="P7" s="101">
        <v>279.53</v>
      </c>
      <c r="Q7" s="101"/>
      <c r="R7" s="102">
        <v>27.7311507936508</v>
      </c>
      <c r="S7" s="103">
        <v>0.0810810810810811</v>
      </c>
      <c r="T7" s="103">
        <v>0.00504362050163577</v>
      </c>
      <c r="U7" s="102">
        <v>0.272432432432432</v>
      </c>
      <c r="V7" s="102">
        <v>3.36</v>
      </c>
      <c r="W7" s="103">
        <v>0.036060530175652</v>
      </c>
      <c r="X7" s="103"/>
    </row>
    <row r="8" ht="22.5" customHeight="1" spans="1:39">
      <c r="A8" s="97" t="s">
        <v>24</v>
      </c>
      <c r="B8" s="98" t="s">
        <v>53</v>
      </c>
      <c r="C8" s="98" t="s">
        <v>54</v>
      </c>
      <c r="D8" s="98" t="s">
        <v>55</v>
      </c>
      <c r="E8" s="98" t="s">
        <v>31</v>
      </c>
      <c r="F8" s="99">
        <v>46109</v>
      </c>
      <c r="G8" s="100">
        <v>46108</v>
      </c>
      <c r="H8" s="100">
        <v>46116</v>
      </c>
      <c r="I8" s="100" t="s">
        <v>32</v>
      </c>
      <c r="J8" s="100" t="s">
        <v>39</v>
      </c>
      <c r="K8" s="100" t="s">
        <v>45</v>
      </c>
      <c r="L8" s="98">
        <v>1944</v>
      </c>
      <c r="M8" s="98">
        <v>11</v>
      </c>
      <c r="N8" s="98">
        <v>3</v>
      </c>
      <c r="O8" s="101">
        <v>4.47</v>
      </c>
      <c r="P8" s="101">
        <v>276.64</v>
      </c>
      <c r="Q8" s="101"/>
      <c r="R8" s="102">
        <v>61.8881431767338</v>
      </c>
      <c r="S8" s="103">
        <v>0.272727272727273</v>
      </c>
      <c r="T8" s="103">
        <v>0.00565843621399177</v>
      </c>
      <c r="U8" s="102">
        <v>0.406363636363636</v>
      </c>
      <c r="V8" s="102">
        <v>1.49</v>
      </c>
      <c r="W8" s="103">
        <v>0.0161581839213418</v>
      </c>
      <c r="X8" s="103"/>
    </row>
    <row r="9" ht="22.5" customHeight="1" spans="1:39">
      <c r="A9" s="97" t="s">
        <v>24</v>
      </c>
      <c r="B9" s="98" t="s">
        <v>56</v>
      </c>
      <c r="C9" s="98" t="s">
        <v>57</v>
      </c>
      <c r="D9" s="98" t="s">
        <v>58</v>
      </c>
      <c r="E9" s="98" t="s">
        <v>31</v>
      </c>
      <c r="F9" s="99">
        <v>46098</v>
      </c>
      <c r="G9" s="100">
        <v>46097</v>
      </c>
      <c r="H9" s="100">
        <v>46099</v>
      </c>
      <c r="I9" s="100" t="s">
        <v>59</v>
      </c>
      <c r="J9" s="100" t="s">
        <v>44</v>
      </c>
      <c r="K9" s="100" t="s">
        <v>34</v>
      </c>
      <c r="L9" s="98">
        <v>243</v>
      </c>
      <c r="M9" s="98">
        <v>14</v>
      </c>
      <c r="N9" s="98">
        <v>2</v>
      </c>
      <c r="O9" s="101">
        <v>13.58</v>
      </c>
      <c r="P9" s="101">
        <v>1252.73</v>
      </c>
      <c r="Q9" s="101"/>
      <c r="R9" s="102">
        <v>92.2481590574374</v>
      </c>
      <c r="S9" s="103">
        <v>0.142857142857143</v>
      </c>
      <c r="T9" s="103">
        <v>0.0576131687242798</v>
      </c>
      <c r="U9" s="102">
        <v>0.97</v>
      </c>
      <c r="V9" s="102">
        <v>6.79</v>
      </c>
      <c r="W9" s="103">
        <v>0.010840324730788</v>
      </c>
      <c r="X9" s="103"/>
    </row>
    <row r="10" ht="22.5" customHeight="1" spans="1:39">
      <c r="A10" s="97" t="s">
        <v>24</v>
      </c>
      <c r="B10" s="98" t="s">
        <v>60</v>
      </c>
      <c r="C10" s="98" t="s">
        <v>61</v>
      </c>
      <c r="D10" s="98" t="s">
        <v>62</v>
      </c>
      <c r="E10" s="98" t="s">
        <v>63</v>
      </c>
      <c r="F10" s="99">
        <v>46115</v>
      </c>
      <c r="G10" s="100">
        <v>46070</v>
      </c>
      <c r="H10" s="100">
        <v>46073</v>
      </c>
      <c r="I10" s="100" t="s">
        <v>64</v>
      </c>
      <c r="J10" s="100" t="s">
        <v>52</v>
      </c>
      <c r="K10" s="100" t="s">
        <v>34</v>
      </c>
      <c r="L10" s="98">
        <v>1656</v>
      </c>
      <c r="M10" s="98">
        <v>5</v>
      </c>
      <c r="N10" s="98">
        <v>2</v>
      </c>
      <c r="O10" s="101">
        <v>2.27</v>
      </c>
      <c r="P10" s="101">
        <v>43.5</v>
      </c>
      <c r="Q10" s="101"/>
      <c r="R10" s="102">
        <v>19.1629955947137</v>
      </c>
      <c r="S10" s="103">
        <v>0.4</v>
      </c>
      <c r="T10" s="103">
        <v>0.00301932367149758</v>
      </c>
      <c r="U10" s="102">
        <v>0.454</v>
      </c>
      <c r="V10" s="102">
        <v>1.135</v>
      </c>
      <c r="W10" s="103">
        <v>0.052183908045977</v>
      </c>
      <c r="X10" s="103"/>
    </row>
    <row r="11" ht="22.5" customHeight="1" spans="1:39">
      <c r="A11" s="97" t="s">
        <v>24</v>
      </c>
      <c r="B11" s="98" t="s">
        <v>65</v>
      </c>
      <c r="C11" s="98" t="s">
        <v>66</v>
      </c>
      <c r="D11" s="98" t="s">
        <v>67</v>
      </c>
      <c r="E11" s="98" t="s">
        <v>31</v>
      </c>
      <c r="F11" s="99">
        <v>46114</v>
      </c>
      <c r="G11" s="100">
        <v>46092</v>
      </c>
      <c r="H11" s="100">
        <v>46112</v>
      </c>
      <c r="I11" s="100" t="s">
        <v>68</v>
      </c>
      <c r="J11" s="100" t="s">
        <v>39</v>
      </c>
      <c r="K11" s="100" t="s">
        <v>45</v>
      </c>
      <c r="L11" s="98">
        <v>62</v>
      </c>
      <c r="M11" s="98">
        <v>2</v>
      </c>
      <c r="N11" s="98">
        <v>2</v>
      </c>
      <c r="O11" s="101">
        <v>0.74</v>
      </c>
      <c r="P11" s="101">
        <v>83.95</v>
      </c>
      <c r="Q11" s="101"/>
      <c r="R11" s="102">
        <v>113.445945945946</v>
      </c>
      <c r="S11" s="103">
        <v>1</v>
      </c>
      <c r="T11" s="103">
        <v>0.032258064516129</v>
      </c>
      <c r="U11" s="102">
        <v>0.37</v>
      </c>
      <c r="V11" s="102">
        <v>0.37</v>
      </c>
      <c r="W11" s="103">
        <v>0.00881477069684336</v>
      </c>
      <c r="X11" s="103"/>
    </row>
    <row r="12" ht="22.5" customHeight="1" spans="1:39">
      <c r="A12" s="97" t="s">
        <v>24</v>
      </c>
      <c r="B12" s="98" t="s">
        <v>69</v>
      </c>
      <c r="C12" s="98" t="s">
        <v>70</v>
      </c>
      <c r="D12" s="98" t="s">
        <v>71</v>
      </c>
      <c r="E12" s="98" t="s">
        <v>31</v>
      </c>
      <c r="F12" s="99">
        <v>46092</v>
      </c>
      <c r="G12" s="100">
        <v>46092</v>
      </c>
      <c r="H12" s="100">
        <v>46095</v>
      </c>
      <c r="I12" s="100" t="s">
        <v>32</v>
      </c>
      <c r="J12" s="100" t="s">
        <v>39</v>
      </c>
      <c r="K12" s="100" t="s">
        <v>34</v>
      </c>
      <c r="L12" s="98">
        <v>10215</v>
      </c>
      <c r="M12" s="98">
        <v>38</v>
      </c>
      <c r="N12" s="98">
        <v>1</v>
      </c>
      <c r="O12" s="101">
        <v>14.61</v>
      </c>
      <c r="P12" s="101">
        <v>123.46</v>
      </c>
      <c r="Q12" s="101"/>
      <c r="R12" s="102">
        <v>8.45037645448323</v>
      </c>
      <c r="S12" s="103">
        <v>0.0263157894736842</v>
      </c>
      <c r="T12" s="103">
        <v>0.00372001957905042</v>
      </c>
      <c r="U12" s="102">
        <v>0.384473684210526</v>
      </c>
      <c r="V12" s="102">
        <v>14.61</v>
      </c>
      <c r="W12" s="103">
        <v>0.118337923213996</v>
      </c>
      <c r="X12" s="103"/>
    </row>
    <row r="13" ht="22.5" customHeight="1" spans="1:39">
      <c r="A13" s="97" t="s">
        <v>24</v>
      </c>
      <c r="B13" s="98" t="s">
        <v>72</v>
      </c>
      <c r="C13" s="98" t="s">
        <v>49</v>
      </c>
      <c r="D13" s="98" t="s">
        <v>73</v>
      </c>
      <c r="E13" s="98" t="s">
        <v>63</v>
      </c>
      <c r="F13" s="99">
        <v>46095</v>
      </c>
      <c r="G13" s="100">
        <v>46085</v>
      </c>
      <c r="H13" s="100">
        <v>46086</v>
      </c>
      <c r="I13" s="100" t="s">
        <v>51</v>
      </c>
      <c r="J13" s="100" t="s">
        <v>52</v>
      </c>
      <c r="K13" s="100" t="s">
        <v>34</v>
      </c>
      <c r="L13" s="98">
        <v>852</v>
      </c>
      <c r="M13" s="98">
        <v>18</v>
      </c>
      <c r="N13" s="98">
        <v>1</v>
      </c>
      <c r="O13" s="101">
        <v>7.41</v>
      </c>
      <c r="P13" s="101">
        <v>87.41</v>
      </c>
      <c r="Q13" s="101"/>
      <c r="R13" s="102">
        <v>11.7962213225371</v>
      </c>
      <c r="S13" s="103">
        <v>0.0555555555555556</v>
      </c>
      <c r="T13" s="103">
        <v>0.0211267605633803</v>
      </c>
      <c r="U13" s="102">
        <v>0.411666666666667</v>
      </c>
      <c r="V13" s="102">
        <v>7.41</v>
      </c>
      <c r="W13" s="103">
        <v>0.0847729092781146</v>
      </c>
      <c r="X13" s="103"/>
    </row>
    <row r="14" ht="22.5" customHeight="1" spans="1:39">
      <c r="A14" s="97" t="s">
        <v>24</v>
      </c>
      <c r="B14" s="98" t="s">
        <v>74</v>
      </c>
      <c r="C14" s="98" t="s">
        <v>75</v>
      </c>
      <c r="D14" s="98" t="s">
        <v>76</v>
      </c>
      <c r="E14" s="98" t="s">
        <v>31</v>
      </c>
      <c r="F14" s="99">
        <v>46099</v>
      </c>
      <c r="G14" s="100">
        <v>46085</v>
      </c>
      <c r="H14" s="100">
        <v>46091</v>
      </c>
      <c r="I14" s="100" t="s">
        <v>51</v>
      </c>
      <c r="J14" s="100" t="s">
        <v>52</v>
      </c>
      <c r="K14" s="100" t="s">
        <v>34</v>
      </c>
      <c r="L14" s="98">
        <v>532</v>
      </c>
      <c r="M14" s="98">
        <v>15</v>
      </c>
      <c r="N14" s="98">
        <v>1</v>
      </c>
      <c r="O14" s="101">
        <v>7.63</v>
      </c>
      <c r="P14" s="101">
        <v>85</v>
      </c>
      <c r="Q14" s="101"/>
      <c r="R14" s="102">
        <v>11.1402359108781</v>
      </c>
      <c r="S14" s="103">
        <v>0.0666666666666667</v>
      </c>
      <c r="T14" s="103">
        <v>0.0281954887218045</v>
      </c>
      <c r="U14" s="102">
        <v>0.508666666666667</v>
      </c>
      <c r="V14" s="102">
        <v>7.63</v>
      </c>
      <c r="W14" s="103">
        <v>0.0897647058823529</v>
      </c>
      <c r="X14" s="103"/>
    </row>
    <row r="15" ht="22.5" customHeight="1" spans="1:39">
      <c r="A15" s="97" t="s">
        <v>24</v>
      </c>
      <c r="B15" s="98" t="s">
        <v>77</v>
      </c>
      <c r="C15" s="98" t="s">
        <v>78</v>
      </c>
      <c r="D15" s="98" t="s">
        <v>79</v>
      </c>
      <c r="E15" s="98" t="s">
        <v>80</v>
      </c>
      <c r="F15" s="99">
        <v>46087</v>
      </c>
      <c r="G15" s="100">
        <v>46070</v>
      </c>
      <c r="H15" s="100">
        <v>46086</v>
      </c>
      <c r="I15" s="100" t="s">
        <v>64</v>
      </c>
      <c r="J15" s="100" t="s">
        <v>52</v>
      </c>
      <c r="K15" s="100" t="s">
        <v>34</v>
      </c>
      <c r="L15" s="98">
        <v>1656</v>
      </c>
      <c r="M15" s="98">
        <v>13</v>
      </c>
      <c r="N15" s="98">
        <v>1</v>
      </c>
      <c r="O15" s="101">
        <v>5.32</v>
      </c>
      <c r="P15" s="101">
        <v>21.6</v>
      </c>
      <c r="Q15" s="101"/>
      <c r="R15" s="102">
        <v>4.06015037593985</v>
      </c>
      <c r="S15" s="103">
        <v>0.0769230769230769</v>
      </c>
      <c r="T15" s="103">
        <v>0.00785024154589372</v>
      </c>
      <c r="U15" s="102">
        <v>0.409230769230769</v>
      </c>
      <c r="V15" s="102">
        <v>5.32</v>
      </c>
      <c r="W15" s="103">
        <v>0.246296296296296</v>
      </c>
      <c r="X15" s="103"/>
    </row>
    <row r="16" ht="22.5" customHeight="1" spans="1:39">
      <c r="A16" s="97" t="s">
        <v>24</v>
      </c>
      <c r="B16" s="98" t="s">
        <v>81</v>
      </c>
      <c r="C16" s="98" t="s">
        <v>78</v>
      </c>
      <c r="D16" s="98" t="s">
        <v>82</v>
      </c>
      <c r="E16" s="98" t="s">
        <v>38</v>
      </c>
      <c r="F16" s="99">
        <v>46087</v>
      </c>
      <c r="G16" s="100">
        <v>46070</v>
      </c>
      <c r="H16" s="100">
        <v>46086</v>
      </c>
      <c r="I16" s="100" t="s">
        <v>64</v>
      </c>
      <c r="J16" s="100" t="s">
        <v>52</v>
      </c>
      <c r="K16" s="100" t="s">
        <v>34</v>
      </c>
      <c r="L16" s="98">
        <v>1825</v>
      </c>
      <c r="M16" s="98">
        <v>12</v>
      </c>
      <c r="N16" s="98">
        <v>1</v>
      </c>
      <c r="O16" s="101">
        <v>5.18</v>
      </c>
      <c r="P16" s="101">
        <v>21.25</v>
      </c>
      <c r="Q16" s="101"/>
      <c r="R16" s="102">
        <v>4.1023166023166</v>
      </c>
      <c r="S16" s="103">
        <v>0.0833333333333333</v>
      </c>
      <c r="T16" s="103">
        <v>0.00657534246575343</v>
      </c>
      <c r="U16" s="102">
        <v>0.431666666666667</v>
      </c>
      <c r="V16" s="102">
        <v>5.18</v>
      </c>
      <c r="W16" s="103">
        <v>0.243764705882353</v>
      </c>
      <c r="X16" s="103"/>
    </row>
    <row r="17" ht="22.5" customHeight="1" spans="1:24">
      <c r="A17" s="97" t="s">
        <v>24</v>
      </c>
      <c r="B17" s="98" t="s">
        <v>83</v>
      </c>
      <c r="C17" s="98" t="s">
        <v>84</v>
      </c>
      <c r="D17" s="98" t="s">
        <v>85</v>
      </c>
      <c r="E17" s="98" t="s">
        <v>63</v>
      </c>
      <c r="F17" s="99">
        <v>46104</v>
      </c>
      <c r="G17" s="100">
        <v>46092</v>
      </c>
      <c r="H17" s="100">
        <v>46104</v>
      </c>
      <c r="I17" s="100" t="s">
        <v>32</v>
      </c>
      <c r="J17" s="100" t="s">
        <v>39</v>
      </c>
      <c r="K17" s="100" t="s">
        <v>34</v>
      </c>
      <c r="L17" s="98">
        <v>1301</v>
      </c>
      <c r="M17" s="98">
        <v>12</v>
      </c>
      <c r="N17" s="98">
        <v>1</v>
      </c>
      <c r="O17" s="101">
        <v>3.59</v>
      </c>
      <c r="P17" s="101">
        <v>13.08</v>
      </c>
      <c r="Q17" s="101"/>
      <c r="R17" s="102">
        <v>3.64345403899721</v>
      </c>
      <c r="S17" s="103">
        <v>0.0833333333333333</v>
      </c>
      <c r="T17" s="103">
        <v>0.00922367409684858</v>
      </c>
      <c r="U17" s="102">
        <v>0.299166666666667</v>
      </c>
      <c r="V17" s="102">
        <v>3.59</v>
      </c>
      <c r="W17" s="103">
        <v>0.274464831804281</v>
      </c>
      <c r="X17" s="103"/>
    </row>
    <row r="18" ht="22.5" customHeight="1" spans="1:24">
      <c r="A18" s="97" t="s">
        <v>24</v>
      </c>
      <c r="B18" s="98" t="s">
        <v>86</v>
      </c>
      <c r="C18" s="98" t="s">
        <v>36</v>
      </c>
      <c r="D18" s="98" t="s">
        <v>87</v>
      </c>
      <c r="E18" s="98" t="s">
        <v>88</v>
      </c>
      <c r="F18" s="99">
        <v>46122</v>
      </c>
      <c r="G18" s="100">
        <v>46066</v>
      </c>
      <c r="H18" s="100">
        <v>46070</v>
      </c>
      <c r="I18" s="100" t="s">
        <v>32</v>
      </c>
      <c r="J18" s="100" t="s">
        <v>39</v>
      </c>
      <c r="K18" s="100" t="s">
        <v>34</v>
      </c>
      <c r="L18" s="98">
        <v>2664</v>
      </c>
      <c r="M18" s="98">
        <v>11</v>
      </c>
      <c r="N18" s="98">
        <v>1</v>
      </c>
      <c r="O18" s="101">
        <v>5.3</v>
      </c>
      <c r="P18" s="101">
        <v>56</v>
      </c>
      <c r="Q18" s="101"/>
      <c r="R18" s="102">
        <v>10.5660377358491</v>
      </c>
      <c r="S18" s="103">
        <v>0.0909090909090909</v>
      </c>
      <c r="T18" s="103">
        <v>0.00412912912912913</v>
      </c>
      <c r="U18" s="102">
        <v>0.481818181818182</v>
      </c>
      <c r="V18" s="102">
        <v>5.3</v>
      </c>
      <c r="W18" s="103">
        <v>0.0946428571428571</v>
      </c>
      <c r="X18" s="103"/>
    </row>
    <row r="19" ht="22.5" customHeight="1" spans="1:24">
      <c r="A19" s="97" t="s">
        <v>24</v>
      </c>
      <c r="B19" s="98" t="s">
        <v>89</v>
      </c>
      <c r="C19" s="98" t="s">
        <v>90</v>
      </c>
      <c r="D19" s="98" t="s">
        <v>91</v>
      </c>
      <c r="E19" s="98" t="s">
        <v>63</v>
      </c>
      <c r="F19" s="99">
        <v>46105</v>
      </c>
      <c r="G19" s="100">
        <v>46062</v>
      </c>
      <c r="H19" s="100">
        <v>46117</v>
      </c>
      <c r="I19" s="100" t="s">
        <v>51</v>
      </c>
      <c r="J19" s="100" t="s">
        <v>92</v>
      </c>
      <c r="K19" s="100" t="s">
        <v>34</v>
      </c>
      <c r="L19" s="98">
        <v>748</v>
      </c>
      <c r="M19" s="98">
        <v>10</v>
      </c>
      <c r="N19" s="98">
        <v>1</v>
      </c>
      <c r="O19" s="101">
        <v>7.09</v>
      </c>
      <c r="P19" s="101">
        <v>88.56</v>
      </c>
      <c r="Q19" s="101"/>
      <c r="R19" s="102">
        <v>12.490832157969</v>
      </c>
      <c r="S19" s="103">
        <v>0.1</v>
      </c>
      <c r="T19" s="103">
        <v>0.0133689839572193</v>
      </c>
      <c r="U19" s="102">
        <v>0.709</v>
      </c>
      <c r="V19" s="102">
        <v>7.09</v>
      </c>
      <c r="W19" s="103">
        <v>0.0800587172538392</v>
      </c>
      <c r="X19" s="103"/>
    </row>
    <row r="20" ht="22.5" customHeight="1" spans="1:24">
      <c r="A20" s="97" t="s">
        <v>24</v>
      </c>
      <c r="B20" s="98" t="s">
        <v>93</v>
      </c>
      <c r="C20" s="98" t="s">
        <v>94</v>
      </c>
      <c r="D20" s="98" t="s">
        <v>95</v>
      </c>
      <c r="E20" s="98" t="s">
        <v>31</v>
      </c>
      <c r="F20" s="99">
        <v>46100</v>
      </c>
      <c r="G20" s="100">
        <v>46097</v>
      </c>
      <c r="H20" s="100">
        <v>46100</v>
      </c>
      <c r="I20" s="100" t="s">
        <v>96</v>
      </c>
      <c r="J20" s="100" t="s">
        <v>97</v>
      </c>
      <c r="K20" s="100" t="s">
        <v>34</v>
      </c>
      <c r="L20" s="98">
        <v>1075</v>
      </c>
      <c r="M20" s="98">
        <v>9</v>
      </c>
      <c r="N20" s="98">
        <v>1</v>
      </c>
      <c r="O20" s="101">
        <v>6.45</v>
      </c>
      <c r="P20" s="101">
        <v>96.34</v>
      </c>
      <c r="Q20" s="101"/>
      <c r="R20" s="102">
        <v>14.9364341085271</v>
      </c>
      <c r="S20" s="103">
        <v>0.111111111111111</v>
      </c>
      <c r="T20" s="103">
        <v>0.00837209302325581</v>
      </c>
      <c r="U20" s="102">
        <v>0.716666666666667</v>
      </c>
      <c r="V20" s="102">
        <v>6.45</v>
      </c>
      <c r="W20" s="103">
        <v>0.0669503840564667</v>
      </c>
      <c r="X20" s="103"/>
    </row>
    <row r="21" ht="22.5" customHeight="1" spans="1:24">
      <c r="A21" s="97" t="s">
        <v>24</v>
      </c>
      <c r="B21" s="98" t="s">
        <v>98</v>
      </c>
      <c r="C21" s="98" t="s">
        <v>99</v>
      </c>
      <c r="D21" s="98" t="s">
        <v>100</v>
      </c>
      <c r="E21" s="98" t="s">
        <v>63</v>
      </c>
      <c r="F21" s="99">
        <v>46082</v>
      </c>
      <c r="G21" s="100">
        <v>46066</v>
      </c>
      <c r="H21" s="100">
        <v>46069</v>
      </c>
      <c r="I21" s="100" t="s">
        <v>59</v>
      </c>
      <c r="J21" s="100" t="s">
        <v>52</v>
      </c>
      <c r="K21" s="100" t="s">
        <v>34</v>
      </c>
      <c r="L21" s="98">
        <v>771</v>
      </c>
      <c r="M21" s="98">
        <v>9</v>
      </c>
      <c r="N21" s="98">
        <v>1</v>
      </c>
      <c r="O21" s="101">
        <v>3.4</v>
      </c>
      <c r="P21" s="101">
        <v>57.11</v>
      </c>
      <c r="Q21" s="101"/>
      <c r="R21" s="102">
        <v>16.7970588235294</v>
      </c>
      <c r="S21" s="103">
        <v>0.111111111111111</v>
      </c>
      <c r="T21" s="103">
        <v>0.0116731517509728</v>
      </c>
      <c r="U21" s="102">
        <v>0.377777777777778</v>
      </c>
      <c r="V21" s="102">
        <v>3.4</v>
      </c>
      <c r="W21" s="103">
        <v>0.0595342321835055</v>
      </c>
      <c r="X21" s="103"/>
    </row>
    <row r="22" ht="22.5" customHeight="1" spans="1:24">
      <c r="A22" s="97" t="s">
        <v>24</v>
      </c>
      <c r="B22" s="98" t="s">
        <v>101</v>
      </c>
      <c r="C22" s="98" t="s">
        <v>102</v>
      </c>
      <c r="D22" s="98" t="s">
        <v>103</v>
      </c>
      <c r="E22" s="98" t="s">
        <v>63</v>
      </c>
      <c r="F22" s="99">
        <v>46082</v>
      </c>
      <c r="G22" s="100">
        <v>46066</v>
      </c>
      <c r="H22" s="100">
        <v>46070</v>
      </c>
      <c r="I22" s="100" t="s">
        <v>96</v>
      </c>
      <c r="J22" s="100" t="s">
        <v>39</v>
      </c>
      <c r="K22" s="100" t="s">
        <v>45</v>
      </c>
      <c r="L22" s="98">
        <v>2610</v>
      </c>
      <c r="M22" s="98">
        <v>7</v>
      </c>
      <c r="N22" s="98">
        <v>1</v>
      </c>
      <c r="O22" s="101">
        <v>4.8</v>
      </c>
      <c r="P22" s="101">
        <v>95.68</v>
      </c>
      <c r="Q22" s="101"/>
      <c r="R22" s="102">
        <v>19.9333333333333</v>
      </c>
      <c r="S22" s="103">
        <v>0.142857142857143</v>
      </c>
      <c r="T22" s="103">
        <v>0.00268199233716475</v>
      </c>
      <c r="U22" s="102">
        <v>0.685714285714286</v>
      </c>
      <c r="V22" s="102">
        <v>4.8</v>
      </c>
      <c r="W22" s="103">
        <v>0.0501672240802676</v>
      </c>
      <c r="X22" s="103"/>
    </row>
    <row r="23" ht="22.5" customHeight="1" spans="1:24">
      <c r="A23" s="97" t="s">
        <v>24</v>
      </c>
      <c r="B23" s="98" t="s">
        <v>56</v>
      </c>
      <c r="C23" s="98" t="s">
        <v>104</v>
      </c>
      <c r="D23" s="98" t="s">
        <v>105</v>
      </c>
      <c r="E23" s="98" t="s">
        <v>31</v>
      </c>
      <c r="F23" s="99">
        <v>46098</v>
      </c>
      <c r="G23" s="100">
        <v>46097</v>
      </c>
      <c r="H23" s="100">
        <v>46099</v>
      </c>
      <c r="I23" s="100" t="s">
        <v>59</v>
      </c>
      <c r="J23" s="100" t="s">
        <v>44</v>
      </c>
      <c r="K23" s="100" t="s">
        <v>34</v>
      </c>
      <c r="L23" s="98">
        <v>135</v>
      </c>
      <c r="M23" s="98">
        <v>4</v>
      </c>
      <c r="N23" s="98">
        <v>1</v>
      </c>
      <c r="O23" s="101">
        <v>2.38</v>
      </c>
      <c r="P23" s="101">
        <v>588</v>
      </c>
      <c r="Q23" s="101"/>
      <c r="R23" s="102">
        <v>247.058823529412</v>
      </c>
      <c r="S23" s="103">
        <v>0.25</v>
      </c>
      <c r="T23" s="103">
        <v>0.0296296296296296</v>
      </c>
      <c r="U23" s="102">
        <v>0.595</v>
      </c>
      <c r="V23" s="102">
        <v>2.38</v>
      </c>
      <c r="W23" s="103">
        <v>0.00404761904761905</v>
      </c>
      <c r="X23" s="103"/>
    </row>
    <row r="24" ht="22.5" customHeight="1" spans="1:24">
      <c r="A24" s="97" t="s">
        <v>24</v>
      </c>
      <c r="B24" s="98" t="s">
        <v>106</v>
      </c>
      <c r="C24" s="98" t="s">
        <v>107</v>
      </c>
      <c r="D24" s="98" t="s">
        <v>108</v>
      </c>
      <c r="E24" s="98" t="s">
        <v>31</v>
      </c>
      <c r="F24" s="99">
        <v>46094</v>
      </c>
      <c r="G24" s="100">
        <v>46093</v>
      </c>
      <c r="H24" s="100">
        <v>46100</v>
      </c>
      <c r="I24" s="100" t="s">
        <v>32</v>
      </c>
      <c r="J24" s="100" t="s">
        <v>33</v>
      </c>
      <c r="K24" s="100" t="s">
        <v>34</v>
      </c>
      <c r="L24" s="98">
        <v>147</v>
      </c>
      <c r="M24" s="98">
        <v>3</v>
      </c>
      <c r="N24" s="98">
        <v>1</v>
      </c>
      <c r="O24" s="101">
        <v>1.04</v>
      </c>
      <c r="P24" s="101">
        <v>152.55</v>
      </c>
      <c r="Q24" s="101"/>
      <c r="R24" s="102">
        <v>146.682692307692</v>
      </c>
      <c r="S24" s="103">
        <v>0.333333333333333</v>
      </c>
      <c r="T24" s="103">
        <v>0.0204081632653061</v>
      </c>
      <c r="U24" s="102">
        <v>0.346666666666667</v>
      </c>
      <c r="V24" s="102">
        <v>1.04</v>
      </c>
      <c r="W24" s="103">
        <v>0.00681743690593248</v>
      </c>
      <c r="X24" s="103"/>
    </row>
    <row r="25" ht="22.5" customHeight="1" spans="1:24">
      <c r="A25" s="97" t="s">
        <v>24</v>
      </c>
      <c r="B25" s="98" t="s">
        <v>109</v>
      </c>
      <c r="C25" s="98" t="s">
        <v>110</v>
      </c>
      <c r="D25" s="98" t="s">
        <v>111</v>
      </c>
      <c r="E25" s="98" t="s">
        <v>38</v>
      </c>
      <c r="F25" s="99">
        <v>46078</v>
      </c>
      <c r="G25" s="100">
        <v>46076</v>
      </c>
      <c r="H25" s="100">
        <v>46084</v>
      </c>
      <c r="I25" s="100" t="s">
        <v>96</v>
      </c>
      <c r="J25" s="100" t="s">
        <v>97</v>
      </c>
      <c r="K25" s="100" t="s">
        <v>45</v>
      </c>
      <c r="L25" s="98">
        <v>659</v>
      </c>
      <c r="M25" s="98">
        <v>2</v>
      </c>
      <c r="N25" s="98">
        <v>1</v>
      </c>
      <c r="O25" s="101">
        <v>1.82</v>
      </c>
      <c r="P25" s="101">
        <v>55.12</v>
      </c>
      <c r="Q25" s="101"/>
      <c r="R25" s="102">
        <v>30.2857142857143</v>
      </c>
      <c r="S25" s="103">
        <v>0.5</v>
      </c>
      <c r="T25" s="103">
        <v>0.00303490136570561</v>
      </c>
      <c r="U25" s="102">
        <v>0.91</v>
      </c>
      <c r="V25" s="102">
        <v>1.82</v>
      </c>
      <c r="W25" s="103">
        <v>0.0330188679245283</v>
      </c>
      <c r="X25" s="103"/>
    </row>
    <row r="26" ht="22.5" customHeight="1" spans="1:24">
      <c r="A26" s="97" t="s">
        <v>24</v>
      </c>
      <c r="B26" s="98" t="s">
        <v>112</v>
      </c>
      <c r="C26" s="98" t="s">
        <v>113</v>
      </c>
      <c r="D26" s="98" t="s">
        <v>114</v>
      </c>
      <c r="E26" s="98" t="s">
        <v>80</v>
      </c>
      <c r="F26" s="99">
        <v>46087</v>
      </c>
      <c r="G26" s="100">
        <v>46081</v>
      </c>
      <c r="H26" s="100">
        <v>46101</v>
      </c>
      <c r="I26" s="100" t="s">
        <v>64</v>
      </c>
      <c r="J26" s="100" t="s">
        <v>52</v>
      </c>
      <c r="K26" s="100" t="s">
        <v>34</v>
      </c>
      <c r="L26" s="98">
        <v>480</v>
      </c>
      <c r="M26" s="98">
        <v>1</v>
      </c>
      <c r="N26" s="98">
        <v>1</v>
      </c>
      <c r="O26" s="101">
        <v>0.34</v>
      </c>
      <c r="P26" s="101">
        <v>62.08</v>
      </c>
      <c r="Q26" s="101"/>
      <c r="R26" s="102">
        <v>182.588235294118</v>
      </c>
      <c r="S26" s="103">
        <v>1</v>
      </c>
      <c r="T26" s="103">
        <v>0.00208333333333333</v>
      </c>
      <c r="U26" s="102">
        <v>0.34</v>
      </c>
      <c r="V26" s="102">
        <v>0.34</v>
      </c>
      <c r="W26" s="103">
        <v>0.00547680412371134</v>
      </c>
      <c r="X26" s="103"/>
    </row>
    <row r="27" ht="22.5" customHeight="1" spans="1:24">
      <c r="A27" s="97" t="s">
        <v>24</v>
      </c>
      <c r="B27" s="98" t="s">
        <v>56</v>
      </c>
      <c r="C27" s="98" t="s">
        <v>115</v>
      </c>
      <c r="D27" s="98" t="s">
        <v>116</v>
      </c>
      <c r="E27" s="98" t="s">
        <v>31</v>
      </c>
      <c r="F27" s="99">
        <v>46098</v>
      </c>
      <c r="G27" s="100">
        <v>46097</v>
      </c>
      <c r="H27" s="100">
        <v>46100</v>
      </c>
      <c r="I27" s="100" t="s">
        <v>59</v>
      </c>
      <c r="J27" s="100" t="s">
        <v>44</v>
      </c>
      <c r="K27" s="100" t="s">
        <v>34</v>
      </c>
      <c r="L27" s="98">
        <v>0</v>
      </c>
      <c r="M27" s="98">
        <v>0</v>
      </c>
      <c r="N27" s="98">
        <v>1</v>
      </c>
      <c r="O27" s="101">
        <v>0</v>
      </c>
      <c r="P27" s="101">
        <v>627.41</v>
      </c>
      <c r="Q27" s="101"/>
      <c r="R27" s="102" t="e">
        <v>#DIV/0!</v>
      </c>
      <c r="S27" s="103" t="e">
        <v>#DIV/0!</v>
      </c>
      <c r="T27" s="103" t="e">
        <v>#DIV/0!</v>
      </c>
      <c r="U27" s="102" t="e">
        <v>#DIV/0!</v>
      </c>
      <c r="V27" s="102">
        <v>0</v>
      </c>
      <c r="W27" s="103">
        <v>0</v>
      </c>
      <c r="X27" s="103"/>
    </row>
    <row r="28" ht="22.5" customHeight="1" spans="1:24">
      <c r="A28" s="97" t="s">
        <v>24</v>
      </c>
      <c r="B28" s="98" t="s">
        <v>117</v>
      </c>
      <c r="C28" s="98" t="s">
        <v>118</v>
      </c>
      <c r="D28" s="98" t="s">
        <v>119</v>
      </c>
      <c r="E28" s="98" t="s">
        <v>63</v>
      </c>
      <c r="F28" s="99">
        <v>46120</v>
      </c>
      <c r="G28" s="100">
        <v>46104</v>
      </c>
      <c r="H28" s="100" t="s">
        <v>120</v>
      </c>
      <c r="I28" s="100" t="s">
        <v>32</v>
      </c>
      <c r="J28" s="100" t="s">
        <v>97</v>
      </c>
      <c r="K28" s="100" t="s">
        <v>34</v>
      </c>
      <c r="L28" s="98">
        <v>5539</v>
      </c>
      <c r="M28" s="98">
        <v>21</v>
      </c>
      <c r="N28" s="98">
        <v>0</v>
      </c>
      <c r="O28" s="101">
        <v>9.77</v>
      </c>
      <c r="P28" s="101">
        <v>0</v>
      </c>
      <c r="Q28" s="101"/>
      <c r="R28" s="102">
        <v>0</v>
      </c>
      <c r="S28" s="103">
        <v>0</v>
      </c>
      <c r="T28" s="103">
        <v>0.00379129806824337</v>
      </c>
      <c r="U28" s="102">
        <v>0.465238095238095</v>
      </c>
      <c r="V28" s="102" t="e">
        <v>#DIV/0!</v>
      </c>
      <c r="W28" s="103" t="e">
        <v>#DIV/0!</v>
      </c>
      <c r="X28" s="103"/>
    </row>
    <row r="29" ht="22.5" customHeight="1" spans="1:24">
      <c r="A29" s="97" t="s">
        <v>24</v>
      </c>
      <c r="B29" s="98" t="s">
        <v>121</v>
      </c>
      <c r="C29" s="98" t="s">
        <v>122</v>
      </c>
      <c r="D29" s="98" t="s">
        <v>123</v>
      </c>
      <c r="E29" s="98" t="s">
        <v>88</v>
      </c>
      <c r="F29" s="99">
        <v>46098</v>
      </c>
      <c r="G29" s="100">
        <v>46097</v>
      </c>
      <c r="H29" s="100">
        <v>46103</v>
      </c>
      <c r="I29" s="100" t="s">
        <v>51</v>
      </c>
      <c r="J29" s="100" t="s">
        <v>44</v>
      </c>
      <c r="K29" s="100" t="s">
        <v>34</v>
      </c>
      <c r="L29" s="98">
        <v>13146</v>
      </c>
      <c r="M29" s="98">
        <v>12</v>
      </c>
      <c r="N29" s="98">
        <v>0</v>
      </c>
      <c r="O29" s="101">
        <v>5.59</v>
      </c>
      <c r="P29" s="101">
        <v>0</v>
      </c>
      <c r="Q29" s="101"/>
      <c r="R29" s="102">
        <v>0</v>
      </c>
      <c r="S29" s="103">
        <v>0</v>
      </c>
      <c r="T29" s="103">
        <v>0.000912825193975354</v>
      </c>
      <c r="U29" s="102">
        <v>0.465833333333333</v>
      </c>
      <c r="V29" s="102" t="e">
        <v>#DIV/0!</v>
      </c>
      <c r="W29" s="103" t="e">
        <v>#DIV/0!</v>
      </c>
      <c r="X29" s="103"/>
    </row>
    <row r="30" ht="22.5" customHeight="1" spans="1:24">
      <c r="A30" s="97" t="s">
        <v>24</v>
      </c>
      <c r="B30" s="98" t="s">
        <v>101</v>
      </c>
      <c r="C30" s="98" t="s">
        <v>124</v>
      </c>
      <c r="D30" s="98" t="s">
        <v>125</v>
      </c>
      <c r="E30" s="98" t="s">
        <v>63</v>
      </c>
      <c r="F30" s="99">
        <v>46082</v>
      </c>
      <c r="G30" s="100">
        <v>46066</v>
      </c>
      <c r="H30" s="100">
        <v>46068</v>
      </c>
      <c r="I30" s="100" t="s">
        <v>96</v>
      </c>
      <c r="J30" s="100" t="s">
        <v>39</v>
      </c>
      <c r="K30" s="100" t="s">
        <v>45</v>
      </c>
      <c r="L30" s="98">
        <v>3700</v>
      </c>
      <c r="M30" s="98">
        <v>10</v>
      </c>
      <c r="N30" s="98">
        <v>0</v>
      </c>
      <c r="O30" s="101">
        <v>5.77</v>
      </c>
      <c r="P30" s="101">
        <v>0</v>
      </c>
      <c r="Q30" s="101"/>
      <c r="R30" s="102">
        <v>0</v>
      </c>
      <c r="S30" s="103">
        <v>0</v>
      </c>
      <c r="T30" s="103">
        <v>0.0027027027027027</v>
      </c>
      <c r="U30" s="102">
        <v>0.577</v>
      </c>
      <c r="V30" s="102" t="e">
        <v>#DIV/0!</v>
      </c>
      <c r="W30" s="103" t="e">
        <v>#DIV/0!</v>
      </c>
      <c r="X30" s="103"/>
    </row>
    <row r="31" ht="22.5" customHeight="1" spans="1:24">
      <c r="A31" s="97" t="s">
        <v>24</v>
      </c>
      <c r="B31" s="98" t="s">
        <v>126</v>
      </c>
      <c r="C31" s="98" t="s">
        <v>118</v>
      </c>
      <c r="D31" s="98" t="s">
        <v>127</v>
      </c>
      <c r="E31" s="98" t="s">
        <v>31</v>
      </c>
      <c r="F31" s="99">
        <v>46104</v>
      </c>
      <c r="G31" s="100">
        <v>46104</v>
      </c>
      <c r="H31" s="100" t="s">
        <v>120</v>
      </c>
      <c r="I31" s="100" t="s">
        <v>32</v>
      </c>
      <c r="J31" s="100" t="s">
        <v>97</v>
      </c>
      <c r="K31" s="100" t="s">
        <v>34</v>
      </c>
      <c r="L31" s="98">
        <v>636</v>
      </c>
      <c r="M31" s="98">
        <v>9</v>
      </c>
      <c r="N31" s="98">
        <v>0</v>
      </c>
      <c r="O31" s="101">
        <v>7.79</v>
      </c>
      <c r="P31" s="101">
        <v>0</v>
      </c>
      <c r="Q31" s="101"/>
      <c r="R31" s="102">
        <v>0</v>
      </c>
      <c r="S31" s="103">
        <v>0</v>
      </c>
      <c r="T31" s="103">
        <v>0.0141509433962264</v>
      </c>
      <c r="U31" s="102">
        <v>0.865555555555556</v>
      </c>
      <c r="V31" s="102" t="e">
        <v>#DIV/0!</v>
      </c>
      <c r="W31" s="103" t="e">
        <v>#DIV/0!</v>
      </c>
      <c r="X31" s="103"/>
    </row>
    <row r="32" ht="22.5" customHeight="1" spans="1:24">
      <c r="A32" s="97" t="s">
        <v>24</v>
      </c>
      <c r="B32" s="98" t="s">
        <v>128</v>
      </c>
      <c r="C32" s="98" t="s">
        <v>129</v>
      </c>
      <c r="D32" s="98" t="s">
        <v>130</v>
      </c>
      <c r="E32" s="98" t="s">
        <v>63</v>
      </c>
      <c r="F32" s="99">
        <v>46123</v>
      </c>
      <c r="G32" s="100">
        <v>46092</v>
      </c>
      <c r="H32" s="100">
        <v>46096</v>
      </c>
      <c r="I32" s="100" t="s">
        <v>59</v>
      </c>
      <c r="J32" s="100" t="s">
        <v>44</v>
      </c>
      <c r="K32" s="100" t="s">
        <v>34</v>
      </c>
      <c r="L32" s="98">
        <v>96</v>
      </c>
      <c r="M32" s="98">
        <v>8</v>
      </c>
      <c r="N32" s="98">
        <v>0</v>
      </c>
      <c r="O32" s="101">
        <v>6.2</v>
      </c>
      <c r="P32" s="101">
        <v>0</v>
      </c>
      <c r="Q32" s="101"/>
      <c r="R32" s="102">
        <v>0</v>
      </c>
      <c r="S32" s="103">
        <v>0</v>
      </c>
      <c r="T32" s="103">
        <v>0.0833333333333333</v>
      </c>
      <c r="U32" s="102">
        <v>0.775</v>
      </c>
      <c r="V32" s="102" t="e">
        <v>#DIV/0!</v>
      </c>
      <c r="W32" s="103" t="e">
        <v>#DIV/0!</v>
      </c>
      <c r="X32" s="103"/>
    </row>
    <row r="33" ht="22.5" customHeight="1" spans="1:24">
      <c r="A33" s="97" t="s">
        <v>24</v>
      </c>
      <c r="B33" s="98" t="s">
        <v>56</v>
      </c>
      <c r="C33" s="98" t="s">
        <v>131</v>
      </c>
      <c r="D33" s="98" t="s">
        <v>132</v>
      </c>
      <c r="E33" s="98" t="s">
        <v>31</v>
      </c>
      <c r="F33" s="99">
        <v>46098</v>
      </c>
      <c r="G33" s="100">
        <v>46097</v>
      </c>
      <c r="H33" s="100">
        <v>46103</v>
      </c>
      <c r="I33" s="100" t="s">
        <v>59</v>
      </c>
      <c r="J33" s="100" t="s">
        <v>44</v>
      </c>
      <c r="K33" s="100" t="s">
        <v>34</v>
      </c>
      <c r="L33" s="98">
        <v>196</v>
      </c>
      <c r="M33" s="98">
        <v>7</v>
      </c>
      <c r="N33" s="98">
        <v>0</v>
      </c>
      <c r="O33" s="101">
        <v>6.29</v>
      </c>
      <c r="P33" s="101">
        <v>0</v>
      </c>
      <c r="Q33" s="101"/>
      <c r="R33" s="102">
        <v>0</v>
      </c>
      <c r="S33" s="103">
        <v>0</v>
      </c>
      <c r="T33" s="103">
        <v>0.0357142857142857</v>
      </c>
      <c r="U33" s="102">
        <v>0.898571428571429</v>
      </c>
      <c r="V33" s="102" t="e">
        <v>#DIV/0!</v>
      </c>
      <c r="W33" s="103" t="e">
        <v>#DIV/0!</v>
      </c>
      <c r="X33" s="103"/>
    </row>
    <row r="34" ht="22.5" customHeight="1" spans="1:24">
      <c r="A34" s="97" t="s">
        <v>24</v>
      </c>
      <c r="B34" s="98" t="s">
        <v>133</v>
      </c>
      <c r="C34" s="98" t="s">
        <v>61</v>
      </c>
      <c r="D34" s="98" t="s">
        <v>134</v>
      </c>
      <c r="E34" s="98" t="s">
        <v>38</v>
      </c>
      <c r="F34" s="99">
        <v>46115</v>
      </c>
      <c r="G34" s="100">
        <v>46070</v>
      </c>
      <c r="H34" s="100">
        <v>46073</v>
      </c>
      <c r="I34" s="100" t="s">
        <v>64</v>
      </c>
      <c r="J34" s="100" t="s">
        <v>52</v>
      </c>
      <c r="K34" s="100" t="s">
        <v>34</v>
      </c>
      <c r="L34" s="98">
        <v>1514</v>
      </c>
      <c r="M34" s="98">
        <v>6</v>
      </c>
      <c r="N34" s="98">
        <v>0</v>
      </c>
      <c r="O34" s="101">
        <v>2.39</v>
      </c>
      <c r="P34" s="101">
        <v>0</v>
      </c>
      <c r="Q34" s="101"/>
      <c r="R34" s="102">
        <v>0</v>
      </c>
      <c r="S34" s="103">
        <v>0</v>
      </c>
      <c r="T34" s="103">
        <v>0.00396301188903567</v>
      </c>
      <c r="U34" s="102">
        <v>0.398333333333333</v>
      </c>
      <c r="V34" s="102" t="e">
        <v>#DIV/0!</v>
      </c>
      <c r="W34" s="103" t="e">
        <v>#DIV/0!</v>
      </c>
      <c r="X34" s="103"/>
    </row>
    <row r="35" ht="22.5" customHeight="1" spans="1:24">
      <c r="A35" s="97" t="s">
        <v>24</v>
      </c>
      <c r="B35" s="98" t="s">
        <v>135</v>
      </c>
      <c r="C35" s="98" t="s">
        <v>136</v>
      </c>
      <c r="D35" s="98" t="s">
        <v>137</v>
      </c>
      <c r="E35" s="98" t="s">
        <v>63</v>
      </c>
      <c r="F35" s="99">
        <v>46099</v>
      </c>
      <c r="G35" s="100">
        <v>46091</v>
      </c>
      <c r="H35" s="100">
        <v>46106</v>
      </c>
      <c r="I35" s="100" t="s">
        <v>32</v>
      </c>
      <c r="J35" s="100" t="s">
        <v>39</v>
      </c>
      <c r="K35" s="100" t="s">
        <v>34</v>
      </c>
      <c r="L35" s="98">
        <v>1430</v>
      </c>
      <c r="M35" s="98">
        <v>6</v>
      </c>
      <c r="N35" s="98">
        <v>0</v>
      </c>
      <c r="O35" s="101">
        <v>2.22</v>
      </c>
      <c r="P35" s="101">
        <v>0</v>
      </c>
      <c r="Q35" s="101"/>
      <c r="R35" s="102">
        <v>0</v>
      </c>
      <c r="S35" s="103">
        <v>0</v>
      </c>
      <c r="T35" s="103">
        <v>0.0041958041958042</v>
      </c>
      <c r="U35" s="102">
        <v>0.37</v>
      </c>
      <c r="V35" s="102" t="e">
        <v>#DIV/0!</v>
      </c>
      <c r="W35" s="103" t="e">
        <v>#DIV/0!</v>
      </c>
      <c r="X35" s="103"/>
    </row>
    <row r="36" ht="22.5" customHeight="1" spans="1:24">
      <c r="A36" s="97" t="s">
        <v>24</v>
      </c>
      <c r="B36" s="98" t="s">
        <v>138</v>
      </c>
      <c r="C36" s="98" t="s">
        <v>139</v>
      </c>
      <c r="D36" s="98" t="s">
        <v>140</v>
      </c>
      <c r="E36" s="98" t="s">
        <v>31</v>
      </c>
      <c r="F36" s="99">
        <v>46092</v>
      </c>
      <c r="G36" s="100">
        <v>46091</v>
      </c>
      <c r="H36" s="100">
        <v>46101</v>
      </c>
      <c r="I36" s="100" t="s">
        <v>32</v>
      </c>
      <c r="J36" s="100" t="s">
        <v>39</v>
      </c>
      <c r="K36" s="100" t="s">
        <v>34</v>
      </c>
      <c r="L36" s="98">
        <v>1361</v>
      </c>
      <c r="M36" s="98">
        <v>6</v>
      </c>
      <c r="N36" s="98">
        <v>0</v>
      </c>
      <c r="O36" s="101">
        <v>1.54</v>
      </c>
      <c r="P36" s="101">
        <v>0</v>
      </c>
      <c r="Q36" s="101"/>
      <c r="R36" s="102">
        <v>0</v>
      </c>
      <c r="S36" s="103">
        <v>0</v>
      </c>
      <c r="T36" s="103">
        <v>0.00440852314474651</v>
      </c>
      <c r="U36" s="102">
        <v>0.256666666666667</v>
      </c>
      <c r="V36" s="102" t="e">
        <v>#DIV/0!</v>
      </c>
      <c r="W36" s="103" t="e">
        <v>#DIV/0!</v>
      </c>
      <c r="X36" s="103"/>
    </row>
    <row r="37" ht="22.5" customHeight="1" spans="1:24">
      <c r="A37" s="97" t="s">
        <v>24</v>
      </c>
      <c r="B37" s="98" t="s">
        <v>141</v>
      </c>
      <c r="C37" s="98" t="s">
        <v>142</v>
      </c>
      <c r="D37" s="98" t="s">
        <v>143</v>
      </c>
      <c r="E37" s="98" t="s">
        <v>63</v>
      </c>
      <c r="F37" s="99">
        <v>46121</v>
      </c>
      <c r="G37" s="100">
        <v>46092</v>
      </c>
      <c r="H37" s="100">
        <v>46096</v>
      </c>
      <c r="I37" s="100" t="s">
        <v>68</v>
      </c>
      <c r="J37" s="100" t="s">
        <v>39</v>
      </c>
      <c r="K37" s="100" t="s">
        <v>45</v>
      </c>
      <c r="L37" s="98">
        <v>988</v>
      </c>
      <c r="M37" s="98">
        <v>4</v>
      </c>
      <c r="N37" s="98">
        <v>0</v>
      </c>
      <c r="O37" s="101">
        <v>1.47</v>
      </c>
      <c r="P37" s="101">
        <v>0</v>
      </c>
      <c r="Q37" s="101"/>
      <c r="R37" s="102">
        <v>0</v>
      </c>
      <c r="S37" s="103">
        <v>0</v>
      </c>
      <c r="T37" s="103">
        <v>0.00404858299595142</v>
      </c>
      <c r="U37" s="102">
        <v>0.3675</v>
      </c>
      <c r="V37" s="102" t="e">
        <v>#DIV/0!</v>
      </c>
      <c r="W37" s="103" t="e">
        <v>#DIV/0!</v>
      </c>
      <c r="X37" s="103"/>
    </row>
    <row r="38" ht="22.5" customHeight="1" spans="1:24">
      <c r="A38" s="97" t="s">
        <v>24</v>
      </c>
      <c r="B38" s="98" t="s">
        <v>141</v>
      </c>
      <c r="C38" s="98" t="s">
        <v>144</v>
      </c>
      <c r="D38" s="98" t="s">
        <v>145</v>
      </c>
      <c r="E38" s="98" t="s">
        <v>63</v>
      </c>
      <c r="F38" s="99">
        <v>46121</v>
      </c>
      <c r="G38" s="100">
        <v>46081</v>
      </c>
      <c r="H38" s="100">
        <v>46082</v>
      </c>
      <c r="I38" s="100" t="s">
        <v>68</v>
      </c>
      <c r="J38" s="100" t="s">
        <v>39</v>
      </c>
      <c r="K38" s="100" t="s">
        <v>34</v>
      </c>
      <c r="L38" s="98">
        <v>1648</v>
      </c>
      <c r="M38" s="98">
        <v>3</v>
      </c>
      <c r="N38" s="98">
        <v>0</v>
      </c>
      <c r="O38" s="101">
        <v>1.11</v>
      </c>
      <c r="P38" s="101">
        <v>0</v>
      </c>
      <c r="Q38" s="101"/>
      <c r="R38" s="102">
        <v>0</v>
      </c>
      <c r="S38" s="103">
        <v>0</v>
      </c>
      <c r="T38" s="103">
        <v>0.00182038834951456</v>
      </c>
      <c r="U38" s="102">
        <v>0.37</v>
      </c>
      <c r="V38" s="102" t="e">
        <v>#DIV/0!</v>
      </c>
      <c r="W38" s="103" t="e">
        <v>#DIV/0!</v>
      </c>
      <c r="X38" s="103"/>
    </row>
    <row r="39" ht="22.5" customHeight="1" spans="1:24">
      <c r="A39" s="97" t="s">
        <v>24</v>
      </c>
      <c r="B39" s="98" t="s">
        <v>146</v>
      </c>
      <c r="C39" s="98" t="s">
        <v>122</v>
      </c>
      <c r="D39" s="98" t="s">
        <v>147</v>
      </c>
      <c r="E39" s="98" t="s">
        <v>31</v>
      </c>
      <c r="F39" s="99">
        <v>46098</v>
      </c>
      <c r="G39" s="100">
        <v>46097</v>
      </c>
      <c r="H39" s="100">
        <v>46103</v>
      </c>
      <c r="I39" s="100" t="s">
        <v>51</v>
      </c>
      <c r="J39" s="100" t="s">
        <v>44</v>
      </c>
      <c r="K39" s="100" t="s">
        <v>34</v>
      </c>
      <c r="L39" s="98">
        <v>1082</v>
      </c>
      <c r="M39" s="98">
        <v>3</v>
      </c>
      <c r="N39" s="98">
        <v>0</v>
      </c>
      <c r="O39" s="101">
        <v>1.16</v>
      </c>
      <c r="P39" s="101">
        <v>0</v>
      </c>
      <c r="Q39" s="101"/>
      <c r="R39" s="102">
        <v>0</v>
      </c>
      <c r="S39" s="103">
        <v>0</v>
      </c>
      <c r="T39" s="103">
        <v>0.00277264325323475</v>
      </c>
      <c r="U39" s="102">
        <v>0.386666666666667</v>
      </c>
      <c r="V39" s="102" t="e">
        <v>#DIV/0!</v>
      </c>
      <c r="W39" s="103" t="e">
        <v>#DIV/0!</v>
      </c>
      <c r="X39" s="103"/>
    </row>
    <row r="40" ht="22.5" customHeight="1" spans="1:24">
      <c r="A40" s="97" t="s">
        <v>24</v>
      </c>
      <c r="B40" s="98" t="s">
        <v>148</v>
      </c>
      <c r="C40" s="98" t="s">
        <v>149</v>
      </c>
      <c r="D40" s="98" t="s">
        <v>150</v>
      </c>
      <c r="E40" s="98" t="s">
        <v>80</v>
      </c>
      <c r="F40" s="99">
        <v>46097</v>
      </c>
      <c r="G40" s="100">
        <v>46085</v>
      </c>
      <c r="H40" s="100">
        <v>46100</v>
      </c>
      <c r="I40" s="100" t="s">
        <v>32</v>
      </c>
      <c r="J40" s="100" t="s">
        <v>44</v>
      </c>
      <c r="K40" s="100" t="s">
        <v>34</v>
      </c>
      <c r="L40" s="98">
        <v>449</v>
      </c>
      <c r="M40" s="98">
        <v>3</v>
      </c>
      <c r="N40" s="98">
        <v>0</v>
      </c>
      <c r="O40" s="101">
        <v>1.18</v>
      </c>
      <c r="P40" s="101">
        <v>0</v>
      </c>
      <c r="Q40" s="101"/>
      <c r="R40" s="102">
        <v>0</v>
      </c>
      <c r="S40" s="103">
        <v>0</v>
      </c>
      <c r="T40" s="103">
        <v>0.0066815144766147</v>
      </c>
      <c r="U40" s="102">
        <v>0.393333333333333</v>
      </c>
      <c r="V40" s="102" t="e">
        <v>#DIV/0!</v>
      </c>
      <c r="W40" s="103" t="e">
        <v>#DIV/0!</v>
      </c>
      <c r="X40" s="103"/>
    </row>
    <row r="41" ht="22.5" customHeight="1" spans="1:24">
      <c r="A41" s="97" t="s">
        <v>24</v>
      </c>
      <c r="B41" s="98" t="s">
        <v>151</v>
      </c>
      <c r="C41" s="98" t="s">
        <v>149</v>
      </c>
      <c r="D41" s="98" t="s">
        <v>152</v>
      </c>
      <c r="E41" s="98" t="s">
        <v>31</v>
      </c>
      <c r="F41" s="99">
        <v>46097</v>
      </c>
      <c r="G41" s="100">
        <v>46085</v>
      </c>
      <c r="H41" s="100">
        <v>46100</v>
      </c>
      <c r="I41" s="100" t="s">
        <v>32</v>
      </c>
      <c r="J41" s="100" t="s">
        <v>44</v>
      </c>
      <c r="K41" s="100" t="s">
        <v>34</v>
      </c>
      <c r="L41" s="98">
        <v>409</v>
      </c>
      <c r="M41" s="98">
        <v>2</v>
      </c>
      <c r="N41" s="98">
        <v>0</v>
      </c>
      <c r="O41" s="101">
        <v>0.72</v>
      </c>
      <c r="P41" s="101">
        <v>0</v>
      </c>
      <c r="Q41" s="101"/>
      <c r="R41" s="102">
        <v>0</v>
      </c>
      <c r="S41" s="103">
        <v>0</v>
      </c>
      <c r="T41" s="103">
        <v>0.00488997555012225</v>
      </c>
      <c r="U41" s="102">
        <v>0.36</v>
      </c>
      <c r="V41" s="102" t="e">
        <v>#DIV/0!</v>
      </c>
      <c r="W41" s="103" t="e">
        <v>#DIV/0!</v>
      </c>
      <c r="X41" s="103"/>
    </row>
    <row r="42" ht="22.5" customHeight="1" spans="1:24">
      <c r="A42" s="97" t="s">
        <v>24</v>
      </c>
      <c r="B42" s="98" t="s">
        <v>101</v>
      </c>
      <c r="C42" s="98" t="s">
        <v>153</v>
      </c>
      <c r="D42" s="98" t="s">
        <v>154</v>
      </c>
      <c r="E42" s="98" t="s">
        <v>63</v>
      </c>
      <c r="F42" s="99">
        <v>46082</v>
      </c>
      <c r="G42" s="100">
        <v>46066</v>
      </c>
      <c r="H42" s="100">
        <v>46084</v>
      </c>
      <c r="I42" s="100" t="s">
        <v>96</v>
      </c>
      <c r="J42" s="100" t="s">
        <v>39</v>
      </c>
      <c r="K42" s="100" t="s">
        <v>34</v>
      </c>
      <c r="L42" s="98">
        <v>383</v>
      </c>
      <c r="M42" s="98">
        <v>2</v>
      </c>
      <c r="N42" s="98">
        <v>0</v>
      </c>
      <c r="O42" s="101">
        <v>1.33</v>
      </c>
      <c r="P42" s="101">
        <v>0</v>
      </c>
      <c r="Q42" s="101"/>
      <c r="R42" s="102">
        <v>0</v>
      </c>
      <c r="S42" s="103">
        <v>0</v>
      </c>
      <c r="T42" s="103">
        <v>0.00522193211488251</v>
      </c>
      <c r="U42" s="102">
        <v>0.665</v>
      </c>
      <c r="V42" s="102" t="e">
        <v>#DIV/0!</v>
      </c>
      <c r="W42" s="103" t="e">
        <v>#DIV/0!</v>
      </c>
      <c r="X42" s="103"/>
    </row>
    <row r="43" ht="22.5" customHeight="1" spans="1:24">
      <c r="A43" s="97" t="s">
        <v>24</v>
      </c>
      <c r="B43" s="98" t="s">
        <v>135</v>
      </c>
      <c r="C43" s="98" t="s">
        <v>139</v>
      </c>
      <c r="D43" s="98" t="s">
        <v>155</v>
      </c>
      <c r="E43" s="98" t="s">
        <v>63</v>
      </c>
      <c r="F43" s="99">
        <v>46099</v>
      </c>
      <c r="G43" s="100">
        <v>46091</v>
      </c>
      <c r="H43" s="100">
        <v>46101</v>
      </c>
      <c r="I43" s="100" t="s">
        <v>32</v>
      </c>
      <c r="J43" s="100" t="s">
        <v>39</v>
      </c>
      <c r="K43" s="100" t="s">
        <v>34</v>
      </c>
      <c r="L43" s="98">
        <v>1332</v>
      </c>
      <c r="M43" s="98">
        <v>1</v>
      </c>
      <c r="N43" s="98">
        <v>0</v>
      </c>
      <c r="O43" s="101">
        <v>0.35</v>
      </c>
      <c r="P43" s="101">
        <v>0</v>
      </c>
      <c r="Q43" s="101"/>
      <c r="R43" s="102">
        <v>0</v>
      </c>
      <c r="S43" s="103">
        <v>0</v>
      </c>
      <c r="T43" s="103">
        <v>0.000750750750750751</v>
      </c>
      <c r="U43" s="102">
        <v>0.35</v>
      </c>
      <c r="V43" s="102" t="e">
        <v>#DIV/0!</v>
      </c>
      <c r="W43" s="103" t="e">
        <v>#DIV/0!</v>
      </c>
      <c r="X43" s="103"/>
    </row>
    <row r="44" ht="22.5" customHeight="1" spans="1:24">
      <c r="A44" s="97" t="s">
        <v>24</v>
      </c>
      <c r="B44" s="98" t="s">
        <v>138</v>
      </c>
      <c r="C44" s="98" t="s">
        <v>136</v>
      </c>
      <c r="D44" s="98" t="s">
        <v>156</v>
      </c>
      <c r="E44" s="98" t="s">
        <v>31</v>
      </c>
      <c r="F44" s="99">
        <v>46092</v>
      </c>
      <c r="G44" s="100">
        <v>46091</v>
      </c>
      <c r="H44" s="100">
        <v>46106</v>
      </c>
      <c r="I44" s="100" t="s">
        <v>32</v>
      </c>
      <c r="J44" s="100" t="s">
        <v>39</v>
      </c>
      <c r="K44" s="100" t="s">
        <v>34</v>
      </c>
      <c r="L44" s="98">
        <v>1221</v>
      </c>
      <c r="M44" s="98">
        <v>1</v>
      </c>
      <c r="N44" s="98">
        <v>0</v>
      </c>
      <c r="O44" s="101">
        <v>0.16</v>
      </c>
      <c r="P44" s="101">
        <v>0</v>
      </c>
      <c r="Q44" s="101"/>
      <c r="R44" s="102">
        <v>0</v>
      </c>
      <c r="S44" s="103">
        <v>0</v>
      </c>
      <c r="T44" s="103">
        <v>0.000819000819000819</v>
      </c>
      <c r="U44" s="102">
        <v>0.16</v>
      </c>
      <c r="V44" s="102" t="e">
        <v>#DIV/0!</v>
      </c>
      <c r="W44" s="103" t="e">
        <v>#DIV/0!</v>
      </c>
      <c r="X44" s="103"/>
    </row>
    <row r="45" ht="22.5" customHeight="1" spans="1:24">
      <c r="A45" s="97" t="s">
        <v>24</v>
      </c>
      <c r="B45" s="98" t="s">
        <v>86</v>
      </c>
      <c r="C45" s="98" t="s">
        <v>46</v>
      </c>
      <c r="D45" s="98" t="s">
        <v>157</v>
      </c>
      <c r="E45" s="98" t="s">
        <v>88</v>
      </c>
      <c r="F45" s="99">
        <v>46122</v>
      </c>
      <c r="G45" s="100">
        <v>46066</v>
      </c>
      <c r="H45" s="100">
        <v>46077</v>
      </c>
      <c r="I45" s="100" t="s">
        <v>32</v>
      </c>
      <c r="J45" s="100" t="s">
        <v>39</v>
      </c>
      <c r="K45" s="100" t="s">
        <v>34</v>
      </c>
      <c r="L45" s="98">
        <v>1002</v>
      </c>
      <c r="M45" s="98">
        <v>1</v>
      </c>
      <c r="N45" s="98">
        <v>0</v>
      </c>
      <c r="O45" s="101">
        <v>0.5</v>
      </c>
      <c r="P45" s="101">
        <v>0</v>
      </c>
      <c r="Q45" s="101"/>
      <c r="R45" s="102">
        <v>0</v>
      </c>
      <c r="S45" s="103">
        <v>0</v>
      </c>
      <c r="T45" s="103">
        <v>0.000998003992015968</v>
      </c>
      <c r="U45" s="102">
        <v>0.5</v>
      </c>
      <c r="V45" s="102" t="e">
        <v>#DIV/0!</v>
      </c>
      <c r="W45" s="103" t="e">
        <v>#DIV/0!</v>
      </c>
      <c r="X45" s="103"/>
    </row>
    <row r="46" ht="22.5" customHeight="1" spans="1:24">
      <c r="A46" s="97" t="s">
        <v>24</v>
      </c>
      <c r="B46" s="98" t="s">
        <v>158</v>
      </c>
      <c r="C46" s="98" t="s">
        <v>61</v>
      </c>
      <c r="D46" s="98" t="s">
        <v>159</v>
      </c>
      <c r="E46" s="98" t="s">
        <v>80</v>
      </c>
      <c r="F46" s="99">
        <v>46115</v>
      </c>
      <c r="G46" s="100">
        <v>46070</v>
      </c>
      <c r="H46" s="100">
        <v>46073</v>
      </c>
      <c r="I46" s="100" t="s">
        <v>64</v>
      </c>
      <c r="J46" s="100" t="s">
        <v>52</v>
      </c>
      <c r="K46" s="100" t="s">
        <v>34</v>
      </c>
      <c r="L46" s="98">
        <v>745</v>
      </c>
      <c r="M46" s="98">
        <v>1</v>
      </c>
      <c r="N46" s="98">
        <v>0</v>
      </c>
      <c r="O46" s="101">
        <v>0.27</v>
      </c>
      <c r="P46" s="101">
        <v>0</v>
      </c>
      <c r="Q46" s="101"/>
      <c r="R46" s="102">
        <v>0</v>
      </c>
      <c r="S46" s="103">
        <v>0</v>
      </c>
      <c r="T46" s="103">
        <v>0.00134228187919463</v>
      </c>
      <c r="U46" s="102">
        <v>0.27</v>
      </c>
      <c r="V46" s="102" t="e">
        <v>#DIV/0!</v>
      </c>
      <c r="W46" s="103" t="e">
        <v>#DIV/0!</v>
      </c>
      <c r="X46" s="103"/>
    </row>
    <row r="47" ht="22.5" customHeight="1" spans="1:24">
      <c r="A47" s="97" t="s">
        <v>24</v>
      </c>
      <c r="B47" s="98" t="s">
        <v>141</v>
      </c>
      <c r="C47" s="98" t="s">
        <v>66</v>
      </c>
      <c r="D47" s="98" t="s">
        <v>160</v>
      </c>
      <c r="E47" s="98" t="s">
        <v>63</v>
      </c>
      <c r="F47" s="99">
        <v>46121</v>
      </c>
      <c r="G47" s="100">
        <v>46092</v>
      </c>
      <c r="H47" s="100">
        <v>46112</v>
      </c>
      <c r="I47" s="100" t="s">
        <v>68</v>
      </c>
      <c r="J47" s="100" t="s">
        <v>39</v>
      </c>
      <c r="K47" s="100" t="s">
        <v>45</v>
      </c>
      <c r="L47" s="98">
        <v>724</v>
      </c>
      <c r="M47" s="98">
        <v>1</v>
      </c>
      <c r="N47" s="98">
        <v>0</v>
      </c>
      <c r="O47" s="101">
        <v>0.5</v>
      </c>
      <c r="P47" s="101">
        <v>0</v>
      </c>
      <c r="Q47" s="101"/>
      <c r="R47" s="102">
        <v>0</v>
      </c>
      <c r="S47" s="103">
        <v>0</v>
      </c>
      <c r="T47" s="103">
        <v>0.00138121546961326</v>
      </c>
      <c r="U47" s="102">
        <v>0.5</v>
      </c>
      <c r="V47" s="102" t="e">
        <v>#DIV/0!</v>
      </c>
      <c r="W47" s="103" t="e">
        <v>#DIV/0!</v>
      </c>
      <c r="X47" s="103"/>
    </row>
    <row r="48" ht="22.5" customHeight="1" spans="1:24">
      <c r="A48" s="97" t="s">
        <v>24</v>
      </c>
      <c r="B48" s="98" t="s">
        <v>109</v>
      </c>
      <c r="C48" s="98" t="s">
        <v>161</v>
      </c>
      <c r="D48" s="98" t="s">
        <v>162</v>
      </c>
      <c r="E48" s="98" t="s">
        <v>38</v>
      </c>
      <c r="F48" s="99">
        <v>46078</v>
      </c>
      <c r="G48" s="100">
        <v>46076</v>
      </c>
      <c r="H48" s="100">
        <v>46096</v>
      </c>
      <c r="I48" s="100" t="s">
        <v>96</v>
      </c>
      <c r="J48" s="100" t="s">
        <v>97</v>
      </c>
      <c r="K48" s="100" t="s">
        <v>45</v>
      </c>
      <c r="L48" s="98">
        <v>474</v>
      </c>
      <c r="M48" s="98">
        <v>1</v>
      </c>
      <c r="N48" s="98">
        <v>0</v>
      </c>
      <c r="O48" s="101">
        <v>0.36</v>
      </c>
      <c r="P48" s="101">
        <v>0</v>
      </c>
      <c r="Q48" s="101"/>
      <c r="R48" s="102">
        <v>0</v>
      </c>
      <c r="S48" s="103">
        <v>0</v>
      </c>
      <c r="T48" s="103">
        <v>0.00210970464135021</v>
      </c>
      <c r="U48" s="102">
        <v>0.36</v>
      </c>
      <c r="V48" s="102" t="e">
        <v>#DIV/0!</v>
      </c>
      <c r="W48" s="103" t="e">
        <v>#DIV/0!</v>
      </c>
      <c r="X48" s="103"/>
    </row>
    <row r="49" ht="22.5" customHeight="1" spans="1:24">
      <c r="A49" s="97" t="s">
        <v>24</v>
      </c>
      <c r="B49" s="98" t="s">
        <v>109</v>
      </c>
      <c r="C49" s="98" t="s">
        <v>163</v>
      </c>
      <c r="D49" s="98" t="s">
        <v>164</v>
      </c>
      <c r="E49" s="98" t="s">
        <v>38</v>
      </c>
      <c r="F49" s="99">
        <v>46078</v>
      </c>
      <c r="G49" s="100">
        <v>46076</v>
      </c>
      <c r="H49" s="100">
        <v>46082</v>
      </c>
      <c r="I49" s="100" t="s">
        <v>96</v>
      </c>
      <c r="J49" s="100" t="s">
        <v>97</v>
      </c>
      <c r="K49" s="100" t="s">
        <v>34</v>
      </c>
      <c r="L49" s="98">
        <v>365</v>
      </c>
      <c r="M49" s="98">
        <v>1</v>
      </c>
      <c r="N49" s="98">
        <v>0</v>
      </c>
      <c r="O49" s="101">
        <v>0.66</v>
      </c>
      <c r="P49" s="101">
        <v>0</v>
      </c>
      <c r="Q49" s="101"/>
      <c r="R49" s="102">
        <v>0</v>
      </c>
      <c r="S49" s="103">
        <v>0</v>
      </c>
      <c r="T49" s="103">
        <v>0.00273972602739726</v>
      </c>
      <c r="U49" s="102">
        <v>0.66</v>
      </c>
      <c r="V49" s="102" t="e">
        <v>#DIV/0!</v>
      </c>
      <c r="W49" s="103" t="e">
        <v>#DIV/0!</v>
      </c>
      <c r="X49" s="103"/>
    </row>
    <row r="50" ht="22.5" customHeight="1" spans="1:24">
      <c r="A50" s="97" t="s">
        <v>24</v>
      </c>
      <c r="B50" s="98" t="s">
        <v>165</v>
      </c>
      <c r="C50" s="98" t="s">
        <v>78</v>
      </c>
      <c r="D50" s="98" t="s">
        <v>166</v>
      </c>
      <c r="E50" s="98" t="s">
        <v>63</v>
      </c>
      <c r="F50" s="99">
        <v>46087</v>
      </c>
      <c r="G50" s="100">
        <v>46070</v>
      </c>
      <c r="H50" s="100">
        <v>46086</v>
      </c>
      <c r="I50" s="100" t="s">
        <v>64</v>
      </c>
      <c r="J50" s="100" t="s">
        <v>52</v>
      </c>
      <c r="K50" s="100" t="s">
        <v>34</v>
      </c>
      <c r="L50" s="98">
        <v>216</v>
      </c>
      <c r="M50" s="98">
        <v>1</v>
      </c>
      <c r="N50" s="98">
        <v>0</v>
      </c>
      <c r="O50" s="101">
        <v>0.4</v>
      </c>
      <c r="P50" s="101">
        <v>0</v>
      </c>
      <c r="Q50" s="101"/>
      <c r="R50" s="102">
        <v>0</v>
      </c>
      <c r="S50" s="103">
        <v>0</v>
      </c>
      <c r="T50" s="103">
        <v>0.00462962962962963</v>
      </c>
      <c r="U50" s="102">
        <v>0.4</v>
      </c>
      <c r="V50" s="102" t="e">
        <v>#DIV/0!</v>
      </c>
      <c r="W50" s="103" t="e">
        <v>#DIV/0!</v>
      </c>
      <c r="X50" s="103"/>
    </row>
    <row r="51" ht="22.5" customHeight="1" spans="1:24">
      <c r="A51" s="97" t="s">
        <v>24</v>
      </c>
      <c r="B51" s="98" t="s">
        <v>167</v>
      </c>
      <c r="C51" s="98" t="s">
        <v>149</v>
      </c>
      <c r="D51" s="98" t="s">
        <v>168</v>
      </c>
      <c r="E51" s="98" t="s">
        <v>38</v>
      </c>
      <c r="F51" s="99">
        <v>46097</v>
      </c>
      <c r="G51" s="100">
        <v>46085</v>
      </c>
      <c r="H51" s="100">
        <v>46100</v>
      </c>
      <c r="I51" s="100" t="s">
        <v>32</v>
      </c>
      <c r="J51" s="100" t="s">
        <v>44</v>
      </c>
      <c r="K51" s="100" t="s">
        <v>34</v>
      </c>
      <c r="L51" s="98">
        <v>454</v>
      </c>
      <c r="M51" s="98">
        <v>0</v>
      </c>
      <c r="N51" s="98">
        <v>0</v>
      </c>
      <c r="O51" s="101">
        <v>0</v>
      </c>
      <c r="P51" s="101">
        <v>0</v>
      </c>
      <c r="Q51" s="101"/>
      <c r="R51" s="102" t="e">
        <v>#DIV/0!</v>
      </c>
      <c r="S51" s="103" t="e">
        <v>#DIV/0!</v>
      </c>
      <c r="T51" s="103">
        <v>0</v>
      </c>
      <c r="U51" s="102" t="e">
        <v>#DIV/0!</v>
      </c>
      <c r="V51" s="102" t="e">
        <v>#DIV/0!</v>
      </c>
      <c r="W51" s="103" t="e">
        <v>#DIV/0!</v>
      </c>
      <c r="X51" s="103"/>
    </row>
    <row r="52" ht="22.5" customHeight="1" spans="1:24">
      <c r="A52" s="97" t="s">
        <v>24</v>
      </c>
      <c r="B52" s="98" t="s">
        <v>65</v>
      </c>
      <c r="C52" s="98" t="s">
        <v>142</v>
      </c>
      <c r="D52" s="98" t="s">
        <v>169</v>
      </c>
      <c r="E52" s="98" t="s">
        <v>31</v>
      </c>
      <c r="F52" s="99">
        <v>46114</v>
      </c>
      <c r="G52" s="100">
        <v>46092</v>
      </c>
      <c r="H52" s="100">
        <v>46096</v>
      </c>
      <c r="I52" s="100" t="s">
        <v>68</v>
      </c>
      <c r="J52" s="100" t="s">
        <v>39</v>
      </c>
      <c r="K52" s="100" t="s">
        <v>45</v>
      </c>
      <c r="L52" s="98">
        <v>51</v>
      </c>
      <c r="M52" s="98">
        <v>0</v>
      </c>
      <c r="N52" s="98">
        <v>0</v>
      </c>
      <c r="O52" s="101">
        <v>0</v>
      </c>
      <c r="P52" s="101">
        <v>0</v>
      </c>
      <c r="Q52" s="101"/>
      <c r="R52" s="102" t="e">
        <v>#DIV/0!</v>
      </c>
      <c r="S52" s="103" t="e">
        <v>#DIV/0!</v>
      </c>
      <c r="T52" s="103">
        <v>0</v>
      </c>
      <c r="U52" s="102" t="e">
        <v>#DIV/0!</v>
      </c>
      <c r="V52" s="102" t="e">
        <v>#DIV/0!</v>
      </c>
      <c r="W52" s="103" t="e">
        <v>#DIV/0!</v>
      </c>
      <c r="X52" s="103"/>
    </row>
    <row r="53" ht="22.5" customHeight="1" spans="1:24">
      <c r="A53" s="97" t="s">
        <v>24</v>
      </c>
      <c r="B53" s="98" t="s">
        <v>170</v>
      </c>
      <c r="C53" s="98" t="s">
        <v>171</v>
      </c>
      <c r="D53" s="98" t="s">
        <v>172</v>
      </c>
      <c r="E53" s="98" t="s">
        <v>63</v>
      </c>
      <c r="F53" s="99">
        <v>46120</v>
      </c>
      <c r="G53" s="100">
        <v>46105</v>
      </c>
      <c r="H53" s="100">
        <v>46125</v>
      </c>
      <c r="I53" s="100" t="s">
        <v>59</v>
      </c>
      <c r="J53" s="100" t="s">
        <v>92</v>
      </c>
      <c r="K53" s="100" t="s">
        <v>34</v>
      </c>
      <c r="L53" s="98">
        <v>20</v>
      </c>
      <c r="M53" s="98">
        <v>0</v>
      </c>
      <c r="N53" s="98">
        <v>0</v>
      </c>
      <c r="O53" s="101">
        <v>0</v>
      </c>
      <c r="P53" s="101">
        <v>0</v>
      </c>
      <c r="Q53" s="101"/>
      <c r="R53" s="102" t="e">
        <v>#DIV/0!</v>
      </c>
      <c r="S53" s="103" t="e">
        <v>#DIV/0!</v>
      </c>
      <c r="T53" s="103">
        <v>0</v>
      </c>
      <c r="U53" s="102" t="e">
        <v>#DIV/0!</v>
      </c>
      <c r="V53" s="102" t="e">
        <v>#DIV/0!</v>
      </c>
      <c r="W53" s="103" t="e">
        <v>#DIV/0!</v>
      </c>
      <c r="X53" s="103"/>
    </row>
    <row r="54" ht="22.5" customHeight="1" spans="1:24">
      <c r="A54" s="97" t="s">
        <v>24</v>
      </c>
      <c r="B54" s="98" t="s">
        <v>173</v>
      </c>
      <c r="C54" s="98" t="s">
        <v>174</v>
      </c>
      <c r="D54" s="98" t="s">
        <v>175</v>
      </c>
      <c r="E54" s="98" t="s">
        <v>63</v>
      </c>
      <c r="F54" s="99">
        <v>46120</v>
      </c>
      <c r="G54" s="100">
        <v>46105</v>
      </c>
      <c r="H54" s="100">
        <v>46125</v>
      </c>
      <c r="I54" s="100" t="s">
        <v>59</v>
      </c>
      <c r="J54" s="100" t="s">
        <v>92</v>
      </c>
      <c r="K54" s="100" t="s">
        <v>34</v>
      </c>
      <c r="L54" s="98">
        <v>18</v>
      </c>
      <c r="M54" s="98">
        <v>0</v>
      </c>
      <c r="N54" s="98">
        <v>0</v>
      </c>
      <c r="O54" s="101">
        <v>0</v>
      </c>
      <c r="P54" s="101">
        <v>0</v>
      </c>
      <c r="Q54" s="101"/>
      <c r="R54" s="102" t="e">
        <v>#DIV/0!</v>
      </c>
      <c r="S54" s="103" t="e">
        <v>#DIV/0!</v>
      </c>
      <c r="T54" s="103">
        <v>0</v>
      </c>
      <c r="U54" s="102" t="e">
        <v>#DIV/0!</v>
      </c>
      <c r="V54" s="102" t="e">
        <v>#DIV/0!</v>
      </c>
      <c r="W54" s="103" t="e">
        <v>#DIV/0!</v>
      </c>
      <c r="X54" s="103"/>
    </row>
    <row r="55" ht="22.5" customHeight="1" spans="1:24">
      <c r="A55" s="97" t="s">
        <v>24</v>
      </c>
      <c r="B55" s="98" t="s">
        <v>176</v>
      </c>
      <c r="C55" s="98" t="s">
        <v>177</v>
      </c>
      <c r="D55" s="98" t="s">
        <v>178</v>
      </c>
      <c r="E55" s="98" t="s">
        <v>38</v>
      </c>
      <c r="F55" s="99">
        <v>46087</v>
      </c>
      <c r="G55" s="100">
        <v>46085</v>
      </c>
      <c r="H55" s="100">
        <v>46089</v>
      </c>
      <c r="I55" s="100" t="s">
        <v>51</v>
      </c>
      <c r="J55" s="100" t="s">
        <v>44</v>
      </c>
      <c r="K55" s="100" t="s">
        <v>34</v>
      </c>
      <c r="L55" s="98">
        <v>0</v>
      </c>
      <c r="M55" s="98">
        <v>0</v>
      </c>
      <c r="N55" s="98">
        <v>0</v>
      </c>
      <c r="O55" s="101">
        <v>0</v>
      </c>
      <c r="P55" s="101">
        <v>0</v>
      </c>
      <c r="Q55" s="101"/>
      <c r="R55" s="102" t="e">
        <v>#DIV/0!</v>
      </c>
      <c r="S55" s="103" t="e">
        <v>#DIV/0!</v>
      </c>
      <c r="T55" s="103" t="e">
        <v>#DIV/0!</v>
      </c>
      <c r="U55" s="102" t="e">
        <v>#DIV/0!</v>
      </c>
      <c r="V55" s="102" t="e">
        <v>#DIV/0!</v>
      </c>
      <c r="W55" s="103" t="e">
        <v>#DIV/0!</v>
      </c>
      <c r="X55" s="103"/>
    </row>
    <row r="56" customFormat="1" ht="22.5" customHeight="1" spans="1:24">
      <c r="A56" s="97" t="s">
        <v>24</v>
      </c>
      <c r="B56" s="98" t="s">
        <v>176</v>
      </c>
      <c r="C56" s="98" t="s">
        <v>179</v>
      </c>
      <c r="D56" s="98" t="s">
        <v>180</v>
      </c>
      <c r="E56" s="98" t="s">
        <v>38</v>
      </c>
      <c r="F56" s="99">
        <v>46087</v>
      </c>
      <c r="G56" s="100">
        <v>46086</v>
      </c>
      <c r="H56" s="100">
        <v>46089</v>
      </c>
      <c r="I56" s="100" t="s">
        <v>51</v>
      </c>
      <c r="J56" s="100" t="s">
        <v>44</v>
      </c>
      <c r="K56" s="100" t="s">
        <v>34</v>
      </c>
      <c r="L56" s="98">
        <v>0</v>
      </c>
      <c r="M56" s="98">
        <v>0</v>
      </c>
      <c r="N56" s="98">
        <v>0</v>
      </c>
      <c r="O56" s="101">
        <v>0</v>
      </c>
      <c r="P56" s="101">
        <v>0</v>
      </c>
      <c r="Q56" s="101"/>
      <c r="R56" s="102" t="e">
        <v>#DIV/0!</v>
      </c>
      <c r="S56" s="103" t="e">
        <v>#DIV/0!</v>
      </c>
      <c r="T56" s="103" t="e">
        <v>#DIV/0!</v>
      </c>
      <c r="U56" s="102" t="e">
        <v>#DIV/0!</v>
      </c>
      <c r="V56" s="102" t="e">
        <v>#DIV/0!</v>
      </c>
      <c r="W56" s="103" t="e">
        <v>#DIV/0!</v>
      </c>
    </row>
    <row r="57" customFormat="1" ht="22.5" customHeight="1" spans="1:24">
      <c r="A57" s="97" t="s">
        <v>24</v>
      </c>
      <c r="B57" s="98" t="s">
        <v>176</v>
      </c>
      <c r="C57" s="98" t="s">
        <v>181</v>
      </c>
      <c r="D57" s="98" t="s">
        <v>182</v>
      </c>
      <c r="E57" s="98" t="s">
        <v>38</v>
      </c>
      <c r="F57" s="99">
        <v>46087</v>
      </c>
      <c r="G57" s="100">
        <v>46086</v>
      </c>
      <c r="H57" s="100">
        <v>46094</v>
      </c>
      <c r="I57" s="100" t="s">
        <v>51</v>
      </c>
      <c r="J57" s="100" t="s">
        <v>44</v>
      </c>
      <c r="K57" s="100" t="s">
        <v>34</v>
      </c>
      <c r="L57" s="98">
        <v>0</v>
      </c>
      <c r="M57" s="98">
        <v>0</v>
      </c>
      <c r="N57" s="98">
        <v>0</v>
      </c>
      <c r="O57" s="101">
        <v>0</v>
      </c>
      <c r="P57" s="101">
        <v>0</v>
      </c>
      <c r="Q57" s="101"/>
      <c r="R57" s="102" t="e">
        <v>#DIV/0!</v>
      </c>
      <c r="S57" s="103" t="e">
        <v>#DIV/0!</v>
      </c>
      <c r="T57" s="103" t="e">
        <v>#DIV/0!</v>
      </c>
      <c r="U57" s="102" t="e">
        <v>#DIV/0!</v>
      </c>
      <c r="V57" s="102" t="e">
        <v>#DIV/0!</v>
      </c>
      <c r="W57" s="103" t="e">
        <v>#DIV/0!</v>
      </c>
    </row>
    <row r="58" customFormat="1" ht="22.5" customHeight="1" spans="1:24">
      <c r="A58" s="97" t="s">
        <v>24</v>
      </c>
      <c r="B58" s="98" t="s">
        <v>183</v>
      </c>
      <c r="C58" s="98" t="s">
        <v>184</v>
      </c>
      <c r="D58" s="98" t="s">
        <v>185</v>
      </c>
      <c r="E58" s="98" t="s">
        <v>63</v>
      </c>
      <c r="F58" s="99">
        <v>46099</v>
      </c>
      <c r="G58" s="100">
        <v>46085</v>
      </c>
      <c r="H58" s="100">
        <v>46089</v>
      </c>
      <c r="I58" s="100" t="s">
        <v>51</v>
      </c>
      <c r="J58" s="100" t="s">
        <v>52</v>
      </c>
      <c r="K58" s="100" t="s">
        <v>34</v>
      </c>
      <c r="L58" s="98">
        <v>0</v>
      </c>
      <c r="M58" s="98">
        <v>0</v>
      </c>
      <c r="N58" s="98">
        <v>0</v>
      </c>
      <c r="O58" s="101">
        <v>0</v>
      </c>
      <c r="P58" s="101">
        <v>0</v>
      </c>
      <c r="Q58" s="101"/>
      <c r="R58" s="102" t="e">
        <v>#DIV/0!</v>
      </c>
      <c r="S58" s="103" t="e">
        <v>#DIV/0!</v>
      </c>
      <c r="T58" s="103" t="e">
        <v>#DIV/0!</v>
      </c>
      <c r="U58" s="102" t="e">
        <v>#DIV/0!</v>
      </c>
      <c r="V58" s="102" t="e">
        <v>#DIV/0!</v>
      </c>
      <c r="W58" s="103" t="e">
        <v>#DIV/0!</v>
      </c>
    </row>
    <row r="59" customFormat="1" ht="22.5" customHeight="1" spans="1:24">
      <c r="A59" s="104" t="s">
        <v>186</v>
      </c>
      <c r="B59" s="105" t="s">
        <v>25</v>
      </c>
      <c r="C59" s="105" t="s">
        <v>26</v>
      </c>
      <c r="D59" s="105"/>
      <c r="E59" s="105"/>
      <c r="F59" s="105">
        <v>60</v>
      </c>
      <c r="G59" s="105"/>
      <c r="H59" s="105"/>
      <c r="I59" s="105"/>
      <c r="J59" s="105" t="s">
        <v>27</v>
      </c>
      <c r="K59" s="105"/>
      <c r="L59" s="106">
        <v>126729</v>
      </c>
      <c r="M59" s="106">
        <v>381</v>
      </c>
      <c r="N59" s="106">
        <v>31</v>
      </c>
      <c r="O59" s="107">
        <v>170.17</v>
      </c>
      <c r="P59" s="107">
        <v>1872.84</v>
      </c>
      <c r="Q59" s="107"/>
      <c r="R59" s="108">
        <v>11.0057001821708</v>
      </c>
      <c r="S59" s="109">
        <v>0.0813648293963255</v>
      </c>
      <c r="T59" s="109">
        <v>0.00300641526406742</v>
      </c>
      <c r="U59" s="108">
        <v>0.446640419947507</v>
      </c>
      <c r="V59" s="108">
        <v>5.48935483870968</v>
      </c>
      <c r="W59" s="96">
        <v>0.0908620063646655</v>
      </c>
    </row>
    <row r="60" customFormat="1" ht="22.5" customHeight="1" spans="1:24">
      <c r="A60" s="97" t="s">
        <v>186</v>
      </c>
      <c r="B60" s="98" t="s">
        <v>35</v>
      </c>
      <c r="C60" s="98" t="s">
        <v>46</v>
      </c>
      <c r="D60" s="98" t="s">
        <v>47</v>
      </c>
      <c r="E60" s="98" t="s">
        <v>38</v>
      </c>
      <c r="F60" s="99">
        <v>46077</v>
      </c>
      <c r="G60" s="100">
        <v>46066</v>
      </c>
      <c r="H60" s="100">
        <v>46077</v>
      </c>
      <c r="I60" s="100" t="s">
        <v>32</v>
      </c>
      <c r="J60" s="100" t="s">
        <v>39</v>
      </c>
      <c r="K60" s="100" t="s">
        <v>34</v>
      </c>
      <c r="L60" s="98">
        <v>6430</v>
      </c>
      <c r="M60" s="98">
        <v>25</v>
      </c>
      <c r="N60" s="98">
        <v>5</v>
      </c>
      <c r="O60" s="101">
        <v>10.81</v>
      </c>
      <c r="P60" s="101">
        <v>357.08</v>
      </c>
      <c r="Q60" s="101"/>
      <c r="R60" s="102">
        <v>33.0323774283071</v>
      </c>
      <c r="S60" s="103">
        <v>0.2</v>
      </c>
      <c r="T60" s="103">
        <v>0.00388802488335925</v>
      </c>
      <c r="U60" s="102">
        <v>0.4324</v>
      </c>
      <c r="V60" s="102">
        <v>2.162</v>
      </c>
      <c r="W60" s="103">
        <v>0.0302733281057466</v>
      </c>
    </row>
    <row r="61" customFormat="1" ht="22.5" customHeight="1" spans="1:24">
      <c r="A61" s="97" t="s">
        <v>186</v>
      </c>
      <c r="B61" s="98" t="s">
        <v>28</v>
      </c>
      <c r="C61" s="98" t="s">
        <v>29</v>
      </c>
      <c r="D61" s="98" t="s">
        <v>30</v>
      </c>
      <c r="E61" s="98" t="s">
        <v>31</v>
      </c>
      <c r="F61" s="99">
        <v>46114</v>
      </c>
      <c r="G61" s="100">
        <v>46108</v>
      </c>
      <c r="H61" s="100">
        <v>46114</v>
      </c>
      <c r="I61" s="100" t="s">
        <v>32</v>
      </c>
      <c r="J61" s="100" t="s">
        <v>33</v>
      </c>
      <c r="K61" s="100" t="s">
        <v>34</v>
      </c>
      <c r="L61" s="98">
        <v>850</v>
      </c>
      <c r="M61" s="98">
        <v>21</v>
      </c>
      <c r="N61" s="98">
        <v>5</v>
      </c>
      <c r="O61" s="101">
        <v>8.07</v>
      </c>
      <c r="P61" s="101">
        <v>189.36</v>
      </c>
      <c r="Q61" s="101"/>
      <c r="R61" s="102">
        <v>23.4646840148699</v>
      </c>
      <c r="S61" s="103">
        <v>0.238095238095238</v>
      </c>
      <c r="T61" s="103">
        <v>0.0247058823529412</v>
      </c>
      <c r="U61" s="102">
        <v>0.384285714285714</v>
      </c>
      <c r="V61" s="102">
        <v>1.614</v>
      </c>
      <c r="W61" s="103">
        <v>0.042617237008872</v>
      </c>
    </row>
    <row r="62" customFormat="1" ht="22.5" customHeight="1" spans="1:24">
      <c r="A62" s="97" t="s">
        <v>186</v>
      </c>
      <c r="B62" s="98" t="s">
        <v>101</v>
      </c>
      <c r="C62" s="98" t="s">
        <v>102</v>
      </c>
      <c r="D62" s="98" t="s">
        <v>103</v>
      </c>
      <c r="E62" s="98" t="s">
        <v>63</v>
      </c>
      <c r="F62" s="99">
        <v>46082</v>
      </c>
      <c r="G62" s="100">
        <v>46066</v>
      </c>
      <c r="H62" s="100">
        <v>46070</v>
      </c>
      <c r="I62" s="100" t="s">
        <v>96</v>
      </c>
      <c r="J62" s="100" t="s">
        <v>39</v>
      </c>
      <c r="K62" s="100" t="s">
        <v>45</v>
      </c>
      <c r="L62" s="98">
        <v>9035</v>
      </c>
      <c r="M62" s="98">
        <v>28</v>
      </c>
      <c r="N62" s="98">
        <v>3</v>
      </c>
      <c r="O62" s="101">
        <v>15.18</v>
      </c>
      <c r="P62" s="101">
        <v>280.08</v>
      </c>
      <c r="Q62" s="101"/>
      <c r="R62" s="102">
        <v>18.4505928853755</v>
      </c>
      <c r="S62" s="103">
        <v>0.107142857142857</v>
      </c>
      <c r="T62" s="103">
        <v>0.00309905921416713</v>
      </c>
      <c r="U62" s="102">
        <v>0.542142857142857</v>
      </c>
      <c r="V62" s="102">
        <v>5.06</v>
      </c>
      <c r="W62" s="103">
        <v>0.0541988003427592</v>
      </c>
    </row>
    <row r="63" customFormat="1" ht="22.5" customHeight="1" spans="1:24">
      <c r="A63" s="97" t="s">
        <v>186</v>
      </c>
      <c r="B63" s="98" t="s">
        <v>101</v>
      </c>
      <c r="C63" s="98" t="s">
        <v>124</v>
      </c>
      <c r="D63" s="98" t="s">
        <v>125</v>
      </c>
      <c r="E63" s="98" t="s">
        <v>63</v>
      </c>
      <c r="F63" s="99">
        <v>46082</v>
      </c>
      <c r="G63" s="100">
        <v>46066</v>
      </c>
      <c r="H63" s="100">
        <v>46068</v>
      </c>
      <c r="I63" s="100" t="s">
        <v>96</v>
      </c>
      <c r="J63" s="100" t="s">
        <v>39</v>
      </c>
      <c r="K63" s="100" t="s">
        <v>45</v>
      </c>
      <c r="L63" s="98">
        <v>10429</v>
      </c>
      <c r="M63" s="98">
        <v>26</v>
      </c>
      <c r="N63" s="98">
        <v>2</v>
      </c>
      <c r="O63" s="101">
        <v>14.2</v>
      </c>
      <c r="P63" s="101">
        <v>171.57</v>
      </c>
      <c r="Q63" s="101"/>
      <c r="R63" s="102">
        <v>12.0823943661972</v>
      </c>
      <c r="S63" s="103">
        <v>0.0769230769230769</v>
      </c>
      <c r="T63" s="103">
        <v>0.00249304823089462</v>
      </c>
      <c r="U63" s="102">
        <v>0.546153846153846</v>
      </c>
      <c r="V63" s="102">
        <v>7.1</v>
      </c>
      <c r="W63" s="103">
        <v>0.082765052165297</v>
      </c>
    </row>
    <row r="64" customFormat="1" ht="22.5" customHeight="1" spans="1:24">
      <c r="A64" s="97" t="s">
        <v>186</v>
      </c>
      <c r="B64" s="98" t="s">
        <v>69</v>
      </c>
      <c r="C64" s="98" t="s">
        <v>70</v>
      </c>
      <c r="D64" s="98" t="s">
        <v>71</v>
      </c>
      <c r="E64" s="98" t="s">
        <v>31</v>
      </c>
      <c r="F64" s="99">
        <v>46092</v>
      </c>
      <c r="G64" s="100">
        <v>46092</v>
      </c>
      <c r="H64" s="100">
        <v>46095</v>
      </c>
      <c r="I64" s="100" t="s">
        <v>32</v>
      </c>
      <c r="J64" s="100" t="s">
        <v>39</v>
      </c>
      <c r="K64" s="100" t="s">
        <v>34</v>
      </c>
      <c r="L64" s="98">
        <v>9291</v>
      </c>
      <c r="M64" s="98">
        <v>26</v>
      </c>
      <c r="N64" s="98">
        <v>2</v>
      </c>
      <c r="O64" s="101">
        <v>10.31</v>
      </c>
      <c r="P64" s="101">
        <v>242.82</v>
      </c>
      <c r="Q64" s="101"/>
      <c r="R64" s="102">
        <v>23.5518913676043</v>
      </c>
      <c r="S64" s="103">
        <v>0.0769230769230769</v>
      </c>
      <c r="T64" s="103">
        <v>0.00279840706059628</v>
      </c>
      <c r="U64" s="102">
        <v>0.396538461538462</v>
      </c>
      <c r="V64" s="102">
        <v>5.155</v>
      </c>
      <c r="W64" s="103">
        <v>0.0424594349724075</v>
      </c>
    </row>
    <row r="65" customFormat="1" ht="22.5" customHeight="1" spans="1:23">
      <c r="A65" s="97" t="s">
        <v>186</v>
      </c>
      <c r="B65" s="98" t="s">
        <v>83</v>
      </c>
      <c r="C65" s="98" t="s">
        <v>84</v>
      </c>
      <c r="D65" s="98" t="s">
        <v>85</v>
      </c>
      <c r="E65" s="98" t="s">
        <v>63</v>
      </c>
      <c r="F65" s="99">
        <v>46104</v>
      </c>
      <c r="G65" s="100">
        <v>46092</v>
      </c>
      <c r="H65" s="100">
        <v>46104</v>
      </c>
      <c r="I65" s="100" t="s">
        <v>32</v>
      </c>
      <c r="J65" s="100" t="s">
        <v>39</v>
      </c>
      <c r="K65" s="100" t="s">
        <v>34</v>
      </c>
      <c r="L65" s="98">
        <v>747</v>
      </c>
      <c r="M65" s="98">
        <v>6</v>
      </c>
      <c r="N65" s="98">
        <v>2</v>
      </c>
      <c r="O65" s="101">
        <v>2.03</v>
      </c>
      <c r="P65" s="101">
        <v>26.13</v>
      </c>
      <c r="Q65" s="101"/>
      <c r="R65" s="102">
        <v>12.871921182266</v>
      </c>
      <c r="S65" s="103">
        <v>0.333333333333333</v>
      </c>
      <c r="T65" s="103">
        <v>0.00803212851405622</v>
      </c>
      <c r="U65" s="102">
        <v>0.338333333333333</v>
      </c>
      <c r="V65" s="102">
        <v>1.015</v>
      </c>
      <c r="W65" s="103">
        <v>0.0776884806735553</v>
      </c>
    </row>
    <row r="66" customFormat="1" ht="22.5" customHeight="1" spans="1:23">
      <c r="A66" s="97" t="s">
        <v>186</v>
      </c>
      <c r="B66" s="98" t="s">
        <v>40</v>
      </c>
      <c r="C66" s="98" t="s">
        <v>41</v>
      </c>
      <c r="D66" s="98" t="s">
        <v>42</v>
      </c>
      <c r="E66" s="98" t="s">
        <v>43</v>
      </c>
      <c r="F66" s="99">
        <v>46083</v>
      </c>
      <c r="G66" s="100">
        <v>46062</v>
      </c>
      <c r="H66" s="100">
        <v>46068</v>
      </c>
      <c r="I66" s="100" t="s">
        <v>32</v>
      </c>
      <c r="J66" s="100" t="s">
        <v>44</v>
      </c>
      <c r="K66" s="100" t="s">
        <v>45</v>
      </c>
      <c r="L66" s="98">
        <v>4223</v>
      </c>
      <c r="M66" s="98">
        <v>27</v>
      </c>
      <c r="N66" s="98">
        <v>1</v>
      </c>
      <c r="O66" s="101">
        <v>10.55</v>
      </c>
      <c r="P66" s="101">
        <v>53.93</v>
      </c>
      <c r="Q66" s="101"/>
      <c r="R66" s="102">
        <v>5.11184834123223</v>
      </c>
      <c r="S66" s="103">
        <v>0.037037037037037</v>
      </c>
      <c r="T66" s="103">
        <v>0.00639355908122188</v>
      </c>
      <c r="U66" s="102">
        <v>0.390740740740741</v>
      </c>
      <c r="V66" s="102">
        <v>10.55</v>
      </c>
      <c r="W66" s="103">
        <v>0.195623956981272</v>
      </c>
    </row>
    <row r="67" customFormat="1" ht="22.5" customHeight="1" spans="1:23">
      <c r="A67" s="97" t="s">
        <v>186</v>
      </c>
      <c r="B67" s="98" t="s">
        <v>35</v>
      </c>
      <c r="C67" s="98" t="s">
        <v>36</v>
      </c>
      <c r="D67" s="98" t="s">
        <v>37</v>
      </c>
      <c r="E67" s="98" t="s">
        <v>38</v>
      </c>
      <c r="F67" s="99">
        <v>46077</v>
      </c>
      <c r="G67" s="100">
        <v>46066</v>
      </c>
      <c r="H67" s="100">
        <v>46070</v>
      </c>
      <c r="I67" s="100" t="s">
        <v>32</v>
      </c>
      <c r="J67" s="100" t="s">
        <v>39</v>
      </c>
      <c r="K67" s="100" t="s">
        <v>34</v>
      </c>
      <c r="L67" s="98">
        <v>6904</v>
      </c>
      <c r="M67" s="98">
        <v>23</v>
      </c>
      <c r="N67" s="98">
        <v>1</v>
      </c>
      <c r="O67" s="101">
        <v>9.64</v>
      </c>
      <c r="P67" s="101">
        <v>76.37</v>
      </c>
      <c r="Q67" s="101"/>
      <c r="R67" s="102">
        <v>7.92219917012448</v>
      </c>
      <c r="S67" s="103">
        <v>0.0434782608695652</v>
      </c>
      <c r="T67" s="103">
        <v>0.00333140208574739</v>
      </c>
      <c r="U67" s="102">
        <v>0.419130434782609</v>
      </c>
      <c r="V67" s="102">
        <v>9.64</v>
      </c>
      <c r="W67" s="103">
        <v>0.126227576273406</v>
      </c>
    </row>
    <row r="68" customFormat="1" ht="22.5" customHeight="1" spans="1:23">
      <c r="A68" s="97" t="s">
        <v>186</v>
      </c>
      <c r="B68" s="98" t="s">
        <v>74</v>
      </c>
      <c r="C68" s="98" t="s">
        <v>75</v>
      </c>
      <c r="D68" s="98" t="s">
        <v>76</v>
      </c>
      <c r="E68" s="98" t="s">
        <v>31</v>
      </c>
      <c r="F68" s="99">
        <v>46099</v>
      </c>
      <c r="G68" s="100">
        <v>46085</v>
      </c>
      <c r="H68" s="100">
        <v>46091</v>
      </c>
      <c r="I68" s="100" t="s">
        <v>51</v>
      </c>
      <c r="J68" s="100" t="s">
        <v>52</v>
      </c>
      <c r="K68" s="100" t="s">
        <v>34</v>
      </c>
      <c r="L68" s="98">
        <v>570</v>
      </c>
      <c r="M68" s="98">
        <v>16</v>
      </c>
      <c r="N68" s="98">
        <v>1</v>
      </c>
      <c r="O68" s="101">
        <v>7.7</v>
      </c>
      <c r="P68" s="101">
        <v>90.1</v>
      </c>
      <c r="Q68" s="101"/>
      <c r="R68" s="102">
        <v>11.7012987012987</v>
      </c>
      <c r="S68" s="103">
        <v>0.0625</v>
      </c>
      <c r="T68" s="103">
        <v>0.0280701754385965</v>
      </c>
      <c r="U68" s="102">
        <v>0.48125</v>
      </c>
      <c r="V68" s="102">
        <v>7.7</v>
      </c>
      <c r="W68" s="103">
        <v>0.0854605993340733</v>
      </c>
    </row>
    <row r="69" customFormat="1" ht="22.5" customHeight="1" spans="1:23">
      <c r="A69" s="97" t="s">
        <v>186</v>
      </c>
      <c r="B69" s="98" t="s">
        <v>133</v>
      </c>
      <c r="C69" s="98" t="s">
        <v>61</v>
      </c>
      <c r="D69" s="98" t="s">
        <v>134</v>
      </c>
      <c r="E69" s="98" t="s">
        <v>38</v>
      </c>
      <c r="F69" s="99">
        <v>46115</v>
      </c>
      <c r="G69" s="100">
        <v>46070</v>
      </c>
      <c r="H69" s="100">
        <v>46073</v>
      </c>
      <c r="I69" s="100" t="s">
        <v>64</v>
      </c>
      <c r="J69" s="100" t="s">
        <v>52</v>
      </c>
      <c r="K69" s="100" t="s">
        <v>34</v>
      </c>
      <c r="L69" s="98">
        <v>1369</v>
      </c>
      <c r="M69" s="98">
        <v>7</v>
      </c>
      <c r="N69" s="98">
        <v>1</v>
      </c>
      <c r="O69" s="101">
        <v>2.65</v>
      </c>
      <c r="P69" s="101">
        <v>21.2</v>
      </c>
      <c r="Q69" s="101"/>
      <c r="R69" s="102">
        <v>8</v>
      </c>
      <c r="S69" s="103">
        <v>0.142857142857143</v>
      </c>
      <c r="T69" s="103">
        <v>0.00511322132943755</v>
      </c>
      <c r="U69" s="102">
        <v>0.378571428571429</v>
      </c>
      <c r="V69" s="102">
        <v>2.65</v>
      </c>
      <c r="W69" s="103">
        <v>0.125</v>
      </c>
    </row>
    <row r="70" customFormat="1" ht="22.5" customHeight="1" spans="1:23">
      <c r="A70" s="97" t="s">
        <v>186</v>
      </c>
      <c r="B70" s="98" t="s">
        <v>141</v>
      </c>
      <c r="C70" s="98" t="s">
        <v>144</v>
      </c>
      <c r="D70" s="98" t="s">
        <v>145</v>
      </c>
      <c r="E70" s="98" t="s">
        <v>63</v>
      </c>
      <c r="F70" s="99">
        <v>46121</v>
      </c>
      <c r="G70" s="100">
        <v>46081</v>
      </c>
      <c r="H70" s="100">
        <v>46082</v>
      </c>
      <c r="I70" s="100" t="s">
        <v>68</v>
      </c>
      <c r="J70" s="100" t="s">
        <v>39</v>
      </c>
      <c r="K70" s="100" t="s">
        <v>34</v>
      </c>
      <c r="L70" s="98">
        <v>2771</v>
      </c>
      <c r="M70" s="98">
        <v>6</v>
      </c>
      <c r="N70" s="98">
        <v>1</v>
      </c>
      <c r="O70" s="101">
        <v>2.18</v>
      </c>
      <c r="P70" s="101">
        <v>67.58</v>
      </c>
      <c r="Q70" s="101"/>
      <c r="R70" s="102">
        <v>31</v>
      </c>
      <c r="S70" s="103">
        <v>0.166666666666667</v>
      </c>
      <c r="T70" s="103">
        <v>0.0021652832912306</v>
      </c>
      <c r="U70" s="102">
        <v>0.363333333333333</v>
      </c>
      <c r="V70" s="102">
        <v>2.18</v>
      </c>
      <c r="W70" s="103">
        <v>0.032258064516129</v>
      </c>
    </row>
    <row r="71" customFormat="1" ht="22.5" customHeight="1" spans="1:23">
      <c r="A71" s="97" t="s">
        <v>186</v>
      </c>
      <c r="B71" s="98" t="s">
        <v>81</v>
      </c>
      <c r="C71" s="98" t="s">
        <v>78</v>
      </c>
      <c r="D71" s="98" t="s">
        <v>82</v>
      </c>
      <c r="E71" s="98" t="s">
        <v>38</v>
      </c>
      <c r="F71" s="99">
        <v>46087</v>
      </c>
      <c r="G71" s="100">
        <v>46070</v>
      </c>
      <c r="H71" s="100">
        <v>46086</v>
      </c>
      <c r="I71" s="100" t="s">
        <v>64</v>
      </c>
      <c r="J71" s="100" t="s">
        <v>52</v>
      </c>
      <c r="K71" s="100" t="s">
        <v>34</v>
      </c>
      <c r="L71" s="98">
        <v>1838</v>
      </c>
      <c r="M71" s="98">
        <v>6</v>
      </c>
      <c r="N71" s="98">
        <v>1</v>
      </c>
      <c r="O71" s="101">
        <v>1.99</v>
      </c>
      <c r="P71" s="101">
        <v>21.4</v>
      </c>
      <c r="Q71" s="101"/>
      <c r="R71" s="102">
        <v>10.7537688442211</v>
      </c>
      <c r="S71" s="103">
        <v>0.166666666666667</v>
      </c>
      <c r="T71" s="103">
        <v>0.00326441784548422</v>
      </c>
      <c r="U71" s="102">
        <v>0.331666666666667</v>
      </c>
      <c r="V71" s="102">
        <v>1.99</v>
      </c>
      <c r="W71" s="103">
        <v>0.0929906542056075</v>
      </c>
    </row>
    <row r="72" customFormat="1" ht="22.5" customHeight="1" spans="1:23">
      <c r="A72" s="97" t="s">
        <v>186</v>
      </c>
      <c r="B72" s="98" t="s">
        <v>86</v>
      </c>
      <c r="C72" s="98" t="s">
        <v>36</v>
      </c>
      <c r="D72" s="98" t="s">
        <v>87</v>
      </c>
      <c r="E72" s="98" t="s">
        <v>88</v>
      </c>
      <c r="F72" s="99">
        <v>46122</v>
      </c>
      <c r="G72" s="100">
        <v>46066</v>
      </c>
      <c r="H72" s="100">
        <v>46070</v>
      </c>
      <c r="I72" s="100" t="s">
        <v>32</v>
      </c>
      <c r="J72" s="100" t="s">
        <v>39</v>
      </c>
      <c r="K72" s="100" t="s">
        <v>34</v>
      </c>
      <c r="L72" s="98">
        <v>5349</v>
      </c>
      <c r="M72" s="98">
        <v>5</v>
      </c>
      <c r="N72" s="98">
        <v>1</v>
      </c>
      <c r="O72" s="101">
        <v>1.98</v>
      </c>
      <c r="P72" s="101">
        <v>56</v>
      </c>
      <c r="Q72" s="101"/>
      <c r="R72" s="102">
        <v>28.2828282828283</v>
      </c>
      <c r="S72" s="103">
        <v>0.2</v>
      </c>
      <c r="T72" s="103">
        <v>0.000934754159656011</v>
      </c>
      <c r="U72" s="102">
        <v>0.396</v>
      </c>
      <c r="V72" s="102">
        <v>1.98</v>
      </c>
      <c r="W72" s="103">
        <v>0.0353571428571429</v>
      </c>
    </row>
    <row r="73" customFormat="1" ht="22.5" customHeight="1" spans="1:23">
      <c r="A73" s="97" t="s">
        <v>186</v>
      </c>
      <c r="B73" s="98" t="s">
        <v>138</v>
      </c>
      <c r="C73" s="98" t="s">
        <v>136</v>
      </c>
      <c r="D73" s="98" t="s">
        <v>156</v>
      </c>
      <c r="E73" s="98" t="s">
        <v>31</v>
      </c>
      <c r="F73" s="99">
        <v>46092</v>
      </c>
      <c r="G73" s="100">
        <v>46091</v>
      </c>
      <c r="H73" s="100">
        <v>46106</v>
      </c>
      <c r="I73" s="100" t="s">
        <v>32</v>
      </c>
      <c r="J73" s="100" t="s">
        <v>39</v>
      </c>
      <c r="K73" s="100" t="s">
        <v>34</v>
      </c>
      <c r="L73" s="98">
        <v>1482</v>
      </c>
      <c r="M73" s="98">
        <v>4</v>
      </c>
      <c r="N73" s="98">
        <v>1</v>
      </c>
      <c r="O73" s="101">
        <v>1.5</v>
      </c>
      <c r="P73" s="101">
        <v>40.76</v>
      </c>
      <c r="Q73" s="101"/>
      <c r="R73" s="102">
        <v>27.1733333333333</v>
      </c>
      <c r="S73" s="103">
        <v>0.25</v>
      </c>
      <c r="T73" s="103">
        <v>0.00269905533063428</v>
      </c>
      <c r="U73" s="102">
        <v>0.375</v>
      </c>
      <c r="V73" s="102">
        <v>1.5</v>
      </c>
      <c r="W73" s="103">
        <v>0.0368007850834151</v>
      </c>
    </row>
    <row r="74" customFormat="1" ht="22.5" customHeight="1" spans="1:23">
      <c r="A74" s="97" t="s">
        <v>186</v>
      </c>
      <c r="B74" s="98" t="s">
        <v>148</v>
      </c>
      <c r="C74" s="98" t="s">
        <v>149</v>
      </c>
      <c r="D74" s="98" t="s">
        <v>150</v>
      </c>
      <c r="E74" s="98" t="s">
        <v>80</v>
      </c>
      <c r="F74" s="99">
        <v>46097</v>
      </c>
      <c r="G74" s="100">
        <v>46085</v>
      </c>
      <c r="H74" s="100">
        <v>46100</v>
      </c>
      <c r="I74" s="100" t="s">
        <v>32</v>
      </c>
      <c r="J74" s="100" t="s">
        <v>44</v>
      </c>
      <c r="K74" s="100" t="s">
        <v>34</v>
      </c>
      <c r="L74" s="98">
        <v>558</v>
      </c>
      <c r="M74" s="98">
        <v>4</v>
      </c>
      <c r="N74" s="98">
        <v>1</v>
      </c>
      <c r="O74" s="101">
        <v>1.55</v>
      </c>
      <c r="P74" s="101">
        <v>34.24</v>
      </c>
      <c r="Q74" s="101"/>
      <c r="R74" s="102">
        <v>22.0903225806452</v>
      </c>
      <c r="S74" s="103">
        <v>0.25</v>
      </c>
      <c r="T74" s="103">
        <v>0.00716845878136201</v>
      </c>
      <c r="U74" s="102">
        <v>0.3875</v>
      </c>
      <c r="V74" s="102">
        <v>1.55</v>
      </c>
      <c r="W74" s="103">
        <v>0.045268691588785</v>
      </c>
    </row>
    <row r="75" customFormat="1" ht="22.5" customHeight="1" spans="1:23">
      <c r="A75" s="97" t="s">
        <v>186</v>
      </c>
      <c r="B75" s="98" t="s">
        <v>135</v>
      </c>
      <c r="C75" s="98" t="s">
        <v>139</v>
      </c>
      <c r="D75" s="98" t="s">
        <v>155</v>
      </c>
      <c r="E75" s="98" t="s">
        <v>63</v>
      </c>
      <c r="F75" s="99">
        <v>46099</v>
      </c>
      <c r="G75" s="100">
        <v>46091</v>
      </c>
      <c r="H75" s="100">
        <v>46101</v>
      </c>
      <c r="I75" s="100" t="s">
        <v>32</v>
      </c>
      <c r="J75" s="100" t="s">
        <v>39</v>
      </c>
      <c r="K75" s="100" t="s">
        <v>34</v>
      </c>
      <c r="L75" s="98">
        <v>1173</v>
      </c>
      <c r="M75" s="98">
        <v>3</v>
      </c>
      <c r="N75" s="98">
        <v>1</v>
      </c>
      <c r="O75" s="101">
        <v>1.1</v>
      </c>
      <c r="P75" s="101">
        <v>42.28</v>
      </c>
      <c r="Q75" s="101"/>
      <c r="R75" s="102">
        <v>38.4363636363636</v>
      </c>
      <c r="S75" s="103">
        <v>0.333333333333333</v>
      </c>
      <c r="T75" s="103">
        <v>0.00255754475703325</v>
      </c>
      <c r="U75" s="102">
        <v>0.366666666666667</v>
      </c>
      <c r="V75" s="102">
        <v>1.1</v>
      </c>
      <c r="W75" s="103">
        <v>0.0260170293282876</v>
      </c>
    </row>
    <row r="76" customFormat="1" ht="22.5" customHeight="1" spans="1:23">
      <c r="A76" s="97" t="s">
        <v>186</v>
      </c>
      <c r="B76" s="98" t="s">
        <v>86</v>
      </c>
      <c r="C76" s="98" t="s">
        <v>46</v>
      </c>
      <c r="D76" s="98" t="s">
        <v>157</v>
      </c>
      <c r="E76" s="98" t="s">
        <v>88</v>
      </c>
      <c r="F76" s="99">
        <v>46122</v>
      </c>
      <c r="G76" s="100">
        <v>46066</v>
      </c>
      <c r="H76" s="100">
        <v>46077</v>
      </c>
      <c r="I76" s="100" t="s">
        <v>32</v>
      </c>
      <c r="J76" s="100" t="s">
        <v>39</v>
      </c>
      <c r="K76" s="100" t="s">
        <v>34</v>
      </c>
      <c r="L76" s="98">
        <v>2821</v>
      </c>
      <c r="M76" s="98">
        <v>2</v>
      </c>
      <c r="N76" s="98">
        <v>1</v>
      </c>
      <c r="O76" s="101">
        <v>0.73</v>
      </c>
      <c r="P76" s="101">
        <v>66.9</v>
      </c>
      <c r="Q76" s="101"/>
      <c r="R76" s="102">
        <v>91.6438356164384</v>
      </c>
      <c r="S76" s="103">
        <v>0.5</v>
      </c>
      <c r="T76" s="103">
        <v>0.000708968450903935</v>
      </c>
      <c r="U76" s="102">
        <v>0.365</v>
      </c>
      <c r="V76" s="102">
        <v>0.73</v>
      </c>
      <c r="W76" s="103">
        <v>0.0109118086696562</v>
      </c>
    </row>
    <row r="77" customFormat="1" ht="22.5" customHeight="1" spans="1:23">
      <c r="A77" s="97" t="s">
        <v>186</v>
      </c>
      <c r="B77" s="98" t="s">
        <v>167</v>
      </c>
      <c r="C77" s="98" t="s">
        <v>149</v>
      </c>
      <c r="D77" s="98" t="s">
        <v>168</v>
      </c>
      <c r="E77" s="98" t="s">
        <v>38</v>
      </c>
      <c r="F77" s="99">
        <v>46097</v>
      </c>
      <c r="G77" s="100">
        <v>46085</v>
      </c>
      <c r="H77" s="100">
        <v>46100</v>
      </c>
      <c r="I77" s="100" t="s">
        <v>32</v>
      </c>
      <c r="J77" s="100" t="s">
        <v>44</v>
      </c>
      <c r="K77" s="100" t="s">
        <v>34</v>
      </c>
      <c r="L77" s="98">
        <v>471</v>
      </c>
      <c r="M77" s="98">
        <v>2</v>
      </c>
      <c r="N77" s="98">
        <v>1</v>
      </c>
      <c r="O77" s="101">
        <v>0.74</v>
      </c>
      <c r="P77" s="101">
        <v>35.04</v>
      </c>
      <c r="Q77" s="101"/>
      <c r="R77" s="102">
        <v>47.3513513513513</v>
      </c>
      <c r="S77" s="103">
        <v>0.5</v>
      </c>
      <c r="T77" s="103">
        <v>0.00424628450106157</v>
      </c>
      <c r="U77" s="102">
        <v>0.37</v>
      </c>
      <c r="V77" s="102">
        <v>0.74</v>
      </c>
      <c r="W77" s="103">
        <v>0.0211187214611872</v>
      </c>
    </row>
    <row r="78" customFormat="1" ht="22.5" customHeight="1" spans="1:23">
      <c r="A78" s="97" t="s">
        <v>186</v>
      </c>
      <c r="B78" s="98" t="s">
        <v>48</v>
      </c>
      <c r="C78" s="98" t="s">
        <v>49</v>
      </c>
      <c r="D78" s="98" t="s">
        <v>50</v>
      </c>
      <c r="E78" s="98" t="s">
        <v>38</v>
      </c>
      <c r="F78" s="99">
        <v>46087</v>
      </c>
      <c r="G78" s="100">
        <v>46085</v>
      </c>
      <c r="H78" s="100">
        <v>46086</v>
      </c>
      <c r="I78" s="100" t="s">
        <v>51</v>
      </c>
      <c r="J78" s="100" t="s">
        <v>52</v>
      </c>
      <c r="K78" s="100" t="s">
        <v>34</v>
      </c>
      <c r="L78" s="98">
        <v>7713</v>
      </c>
      <c r="M78" s="98">
        <v>28</v>
      </c>
      <c r="N78" s="98">
        <v>0</v>
      </c>
      <c r="O78" s="101">
        <v>8.33</v>
      </c>
      <c r="P78" s="101">
        <v>0</v>
      </c>
      <c r="Q78" s="101"/>
      <c r="R78" s="102">
        <v>0</v>
      </c>
      <c r="S78" s="103">
        <v>0</v>
      </c>
      <c r="T78" s="103">
        <v>0.00363023466874109</v>
      </c>
      <c r="U78" s="102">
        <v>0.2975</v>
      </c>
      <c r="V78" s="102" t="e">
        <v>#DIV/0!</v>
      </c>
      <c r="W78" s="103" t="e">
        <v>#DIV/0!</v>
      </c>
    </row>
    <row r="79" customFormat="1" ht="22.5" customHeight="1" spans="1:23">
      <c r="A79" s="97" t="s">
        <v>186</v>
      </c>
      <c r="B79" s="98" t="s">
        <v>121</v>
      </c>
      <c r="C79" s="98" t="s">
        <v>122</v>
      </c>
      <c r="D79" s="98" t="s">
        <v>123</v>
      </c>
      <c r="E79" s="98" t="s">
        <v>88</v>
      </c>
      <c r="F79" s="99">
        <v>46098</v>
      </c>
      <c r="G79" s="100">
        <v>46097</v>
      </c>
      <c r="H79" s="100">
        <v>46103</v>
      </c>
      <c r="I79" s="100" t="s">
        <v>51</v>
      </c>
      <c r="J79" s="100" t="s">
        <v>44</v>
      </c>
      <c r="K79" s="100" t="s">
        <v>34</v>
      </c>
      <c r="L79" s="98">
        <v>25082</v>
      </c>
      <c r="M79" s="98">
        <v>23</v>
      </c>
      <c r="N79" s="98">
        <v>0</v>
      </c>
      <c r="O79" s="101">
        <v>10.89</v>
      </c>
      <c r="P79" s="101">
        <v>0</v>
      </c>
      <c r="Q79" s="101"/>
      <c r="R79" s="102">
        <v>0</v>
      </c>
      <c r="S79" s="103">
        <v>0</v>
      </c>
      <c r="T79" s="103">
        <v>0.000916992265369588</v>
      </c>
      <c r="U79" s="102">
        <v>0.473478260869565</v>
      </c>
      <c r="V79" s="102" t="e">
        <v>#DIV/0!</v>
      </c>
      <c r="W79" s="103" t="e">
        <v>#DIV/0!</v>
      </c>
    </row>
    <row r="80" customFormat="1" ht="22.5" customHeight="1" spans="1:23">
      <c r="A80" s="97" t="s">
        <v>186</v>
      </c>
      <c r="B80" s="98" t="s">
        <v>72</v>
      </c>
      <c r="C80" s="98" t="s">
        <v>49</v>
      </c>
      <c r="D80" s="98" t="s">
        <v>73</v>
      </c>
      <c r="E80" s="98" t="s">
        <v>63</v>
      </c>
      <c r="F80" s="99">
        <v>46095</v>
      </c>
      <c r="G80" s="100">
        <v>46085</v>
      </c>
      <c r="H80" s="100">
        <v>46086</v>
      </c>
      <c r="I80" s="100" t="s">
        <v>51</v>
      </c>
      <c r="J80" s="100" t="s">
        <v>52</v>
      </c>
      <c r="K80" s="100" t="s">
        <v>34</v>
      </c>
      <c r="L80" s="98">
        <v>1572</v>
      </c>
      <c r="M80" s="98">
        <v>13</v>
      </c>
      <c r="N80" s="98">
        <v>0</v>
      </c>
      <c r="O80" s="101">
        <v>5.82</v>
      </c>
      <c r="P80" s="101">
        <v>0</v>
      </c>
      <c r="Q80" s="101"/>
      <c r="R80" s="102">
        <v>0</v>
      </c>
      <c r="S80" s="103">
        <v>0</v>
      </c>
      <c r="T80" s="103">
        <v>0.00826972010178117</v>
      </c>
      <c r="U80" s="102">
        <v>0.447692307692308</v>
      </c>
      <c r="V80" s="102" t="e">
        <v>#DIV/0!</v>
      </c>
      <c r="W80" s="103" t="e">
        <v>#DIV/0!</v>
      </c>
    </row>
    <row r="81" customFormat="1" ht="22.5" customHeight="1" spans="1:23">
      <c r="A81" s="97" t="s">
        <v>186</v>
      </c>
      <c r="B81" s="98" t="s">
        <v>53</v>
      </c>
      <c r="C81" s="98" t="s">
        <v>54</v>
      </c>
      <c r="D81" s="98" t="s">
        <v>55</v>
      </c>
      <c r="E81" s="98" t="s">
        <v>31</v>
      </c>
      <c r="F81" s="99">
        <v>46109</v>
      </c>
      <c r="G81" s="100">
        <v>46108</v>
      </c>
      <c r="H81" s="100">
        <v>46116</v>
      </c>
      <c r="I81" s="100" t="s">
        <v>32</v>
      </c>
      <c r="J81" s="100" t="s">
        <v>39</v>
      </c>
      <c r="K81" s="100" t="s">
        <v>45</v>
      </c>
      <c r="L81" s="98">
        <v>3138</v>
      </c>
      <c r="M81" s="98">
        <v>11</v>
      </c>
      <c r="N81" s="98">
        <v>0</v>
      </c>
      <c r="O81" s="101">
        <v>4.46</v>
      </c>
      <c r="P81" s="101">
        <v>0</v>
      </c>
      <c r="Q81" s="101"/>
      <c r="R81" s="102">
        <v>0</v>
      </c>
      <c r="S81" s="103">
        <v>0</v>
      </c>
      <c r="T81" s="103">
        <v>0.00350541746335245</v>
      </c>
      <c r="U81" s="102">
        <v>0.405454545454545</v>
      </c>
      <c r="V81" s="102" t="e">
        <v>#DIV/0!</v>
      </c>
      <c r="W81" s="103" t="e">
        <v>#DIV/0!</v>
      </c>
    </row>
    <row r="82" customFormat="1" ht="22.5" customHeight="1" spans="1:23">
      <c r="A82" s="97" t="s">
        <v>186</v>
      </c>
      <c r="B82" s="98" t="s">
        <v>135</v>
      </c>
      <c r="C82" s="98" t="s">
        <v>136</v>
      </c>
      <c r="D82" s="98" t="s">
        <v>137</v>
      </c>
      <c r="E82" s="98" t="s">
        <v>63</v>
      </c>
      <c r="F82" s="99">
        <v>46099</v>
      </c>
      <c r="G82" s="100">
        <v>46091</v>
      </c>
      <c r="H82" s="100">
        <v>46106</v>
      </c>
      <c r="I82" s="100" t="s">
        <v>32</v>
      </c>
      <c r="J82" s="100" t="s">
        <v>39</v>
      </c>
      <c r="K82" s="100" t="s">
        <v>34</v>
      </c>
      <c r="L82" s="98">
        <v>1621</v>
      </c>
      <c r="M82" s="98">
        <v>9</v>
      </c>
      <c r="N82" s="98">
        <v>0</v>
      </c>
      <c r="O82" s="101">
        <v>2.96</v>
      </c>
      <c r="P82" s="101">
        <v>0</v>
      </c>
      <c r="Q82" s="101"/>
      <c r="R82" s="102">
        <v>0</v>
      </c>
      <c r="S82" s="103">
        <v>0</v>
      </c>
      <c r="T82" s="103">
        <v>0.00555212831585441</v>
      </c>
      <c r="U82" s="102">
        <v>0.328888888888889</v>
      </c>
      <c r="V82" s="102" t="e">
        <v>#DIV/0!</v>
      </c>
      <c r="W82" s="103" t="e">
        <v>#DIV/0!</v>
      </c>
    </row>
    <row r="83" customFormat="1" ht="22.5" customHeight="1" spans="1:23">
      <c r="A83" s="97" t="s">
        <v>186</v>
      </c>
      <c r="B83" s="98" t="s">
        <v>128</v>
      </c>
      <c r="C83" s="98" t="s">
        <v>129</v>
      </c>
      <c r="D83" s="98" t="s">
        <v>130</v>
      </c>
      <c r="E83" s="98" t="s">
        <v>63</v>
      </c>
      <c r="F83" s="99">
        <v>46123</v>
      </c>
      <c r="G83" s="100">
        <v>46092</v>
      </c>
      <c r="H83" s="100">
        <v>46096</v>
      </c>
      <c r="I83" s="100" t="s">
        <v>59</v>
      </c>
      <c r="J83" s="100" t="s">
        <v>44</v>
      </c>
      <c r="K83" s="100" t="s">
        <v>34</v>
      </c>
      <c r="L83" s="98">
        <v>321</v>
      </c>
      <c r="M83" s="98">
        <v>9</v>
      </c>
      <c r="N83" s="98">
        <v>0</v>
      </c>
      <c r="O83" s="101">
        <v>5.9</v>
      </c>
      <c r="P83" s="101">
        <v>0</v>
      </c>
      <c r="Q83" s="101"/>
      <c r="R83" s="102">
        <v>0</v>
      </c>
      <c r="S83" s="103">
        <v>0</v>
      </c>
      <c r="T83" s="103">
        <v>0.0280373831775701</v>
      </c>
      <c r="U83" s="102">
        <v>0.655555555555556</v>
      </c>
      <c r="V83" s="102" t="e">
        <v>#DIV/0!</v>
      </c>
      <c r="W83" s="103" t="e">
        <v>#DIV/0!</v>
      </c>
    </row>
    <row r="84" customFormat="1" ht="22.5" customHeight="1" spans="1:23">
      <c r="A84" s="97" t="s">
        <v>186</v>
      </c>
      <c r="B84" s="98" t="s">
        <v>101</v>
      </c>
      <c r="C84" s="98" t="s">
        <v>153</v>
      </c>
      <c r="D84" s="98" t="s">
        <v>154</v>
      </c>
      <c r="E84" s="98" t="s">
        <v>63</v>
      </c>
      <c r="F84" s="99">
        <v>46082</v>
      </c>
      <c r="G84" s="100">
        <v>46066</v>
      </c>
      <c r="H84" s="100">
        <v>46084</v>
      </c>
      <c r="I84" s="100" t="s">
        <v>96</v>
      </c>
      <c r="J84" s="100" t="s">
        <v>39</v>
      </c>
      <c r="K84" s="100" t="s">
        <v>34</v>
      </c>
      <c r="L84" s="98">
        <v>1865</v>
      </c>
      <c r="M84" s="98">
        <v>8</v>
      </c>
      <c r="N84" s="98">
        <v>0</v>
      </c>
      <c r="O84" s="101">
        <v>3.66</v>
      </c>
      <c r="P84" s="101">
        <v>0</v>
      </c>
      <c r="Q84" s="101"/>
      <c r="R84" s="102">
        <v>0</v>
      </c>
      <c r="S84" s="103">
        <v>0</v>
      </c>
      <c r="T84" s="103">
        <v>0.00428954423592493</v>
      </c>
      <c r="U84" s="102">
        <v>0.4575</v>
      </c>
      <c r="V84" s="102" t="e">
        <v>#DIV/0!</v>
      </c>
      <c r="W84" s="103" t="e">
        <v>#DIV/0!</v>
      </c>
    </row>
    <row r="85" customFormat="1" ht="22.5" customHeight="1" spans="1:23">
      <c r="A85" s="97" t="s">
        <v>186</v>
      </c>
      <c r="B85" s="98" t="s">
        <v>98</v>
      </c>
      <c r="C85" s="98" t="s">
        <v>99</v>
      </c>
      <c r="D85" s="98" t="s">
        <v>100</v>
      </c>
      <c r="E85" s="98" t="s">
        <v>63</v>
      </c>
      <c r="F85" s="99">
        <v>46082</v>
      </c>
      <c r="G85" s="100">
        <v>46066</v>
      </c>
      <c r="H85" s="100">
        <v>46069</v>
      </c>
      <c r="I85" s="100" t="s">
        <v>59</v>
      </c>
      <c r="J85" s="100" t="s">
        <v>52</v>
      </c>
      <c r="K85" s="100" t="s">
        <v>34</v>
      </c>
      <c r="L85" s="98">
        <v>1204</v>
      </c>
      <c r="M85" s="98">
        <v>8</v>
      </c>
      <c r="N85" s="98">
        <v>0</v>
      </c>
      <c r="O85" s="101">
        <v>2.34</v>
      </c>
      <c r="P85" s="101">
        <v>0</v>
      </c>
      <c r="Q85" s="101"/>
      <c r="R85" s="102">
        <v>0</v>
      </c>
      <c r="S85" s="103">
        <v>0</v>
      </c>
      <c r="T85" s="103">
        <v>0.00664451827242525</v>
      </c>
      <c r="U85" s="102">
        <v>0.2925</v>
      </c>
      <c r="V85" s="102" t="e">
        <v>#DIV/0!</v>
      </c>
      <c r="W85" s="103" t="e">
        <v>#DIV/0!</v>
      </c>
    </row>
    <row r="86" customFormat="1" ht="22.5" customHeight="1" spans="1:23">
      <c r="A86" s="97" t="s">
        <v>186</v>
      </c>
      <c r="B86" s="98" t="s">
        <v>112</v>
      </c>
      <c r="C86" s="98" t="s">
        <v>113</v>
      </c>
      <c r="D86" s="98" t="s">
        <v>114</v>
      </c>
      <c r="E86" s="98" t="s">
        <v>80</v>
      </c>
      <c r="F86" s="99">
        <v>46087</v>
      </c>
      <c r="G86" s="100">
        <v>46081</v>
      </c>
      <c r="H86" s="100">
        <v>46101</v>
      </c>
      <c r="I86" s="100" t="s">
        <v>64</v>
      </c>
      <c r="J86" s="100" t="s">
        <v>52</v>
      </c>
      <c r="K86" s="100" t="s">
        <v>34</v>
      </c>
      <c r="L86" s="98">
        <v>463</v>
      </c>
      <c r="M86" s="98">
        <v>6</v>
      </c>
      <c r="N86" s="98">
        <v>0</v>
      </c>
      <c r="O86" s="101">
        <v>2.58</v>
      </c>
      <c r="P86" s="101">
        <v>0</v>
      </c>
      <c r="Q86" s="101"/>
      <c r="R86" s="102">
        <v>0</v>
      </c>
      <c r="S86" s="103">
        <v>0</v>
      </c>
      <c r="T86" s="103">
        <v>0.0129589632829374</v>
      </c>
      <c r="U86" s="102">
        <v>0.43</v>
      </c>
      <c r="V86" s="102" t="e">
        <v>#DIV/0!</v>
      </c>
      <c r="W86" s="103" t="e">
        <v>#DIV/0!</v>
      </c>
    </row>
    <row r="87" customFormat="1" ht="22.5" customHeight="1" spans="1:23">
      <c r="A87" s="97" t="s">
        <v>186</v>
      </c>
      <c r="B87" s="98" t="s">
        <v>89</v>
      </c>
      <c r="C87" s="98" t="s">
        <v>90</v>
      </c>
      <c r="D87" s="98" t="s">
        <v>91</v>
      </c>
      <c r="E87" s="98" t="s">
        <v>63</v>
      </c>
      <c r="F87" s="99">
        <v>46105</v>
      </c>
      <c r="G87" s="100">
        <v>46062</v>
      </c>
      <c r="H87" s="100">
        <v>46117</v>
      </c>
      <c r="I87" s="100" t="s">
        <v>51</v>
      </c>
      <c r="J87" s="100" t="s">
        <v>92</v>
      </c>
      <c r="K87" s="100" t="s">
        <v>34</v>
      </c>
      <c r="L87" s="98">
        <v>513</v>
      </c>
      <c r="M87" s="98">
        <v>4</v>
      </c>
      <c r="N87" s="98">
        <v>0</v>
      </c>
      <c r="O87" s="101">
        <v>2.58</v>
      </c>
      <c r="P87" s="101">
        <v>0</v>
      </c>
      <c r="Q87" s="101"/>
      <c r="R87" s="102">
        <v>0</v>
      </c>
      <c r="S87" s="103">
        <v>0</v>
      </c>
      <c r="T87" s="103">
        <v>0.00779727095516569</v>
      </c>
      <c r="U87" s="102">
        <v>0.645</v>
      </c>
      <c r="V87" s="102" t="e">
        <v>#DIV/0!</v>
      </c>
      <c r="W87" s="103" t="e">
        <v>#DIV/0!</v>
      </c>
    </row>
    <row r="88" customFormat="1" ht="22.5" customHeight="1" spans="1:23">
      <c r="A88" s="97" t="s">
        <v>186</v>
      </c>
      <c r="B88" s="98" t="s">
        <v>187</v>
      </c>
      <c r="C88" s="98" t="s">
        <v>188</v>
      </c>
      <c r="D88" s="98" t="s">
        <v>189</v>
      </c>
      <c r="E88" s="98" t="s">
        <v>63</v>
      </c>
      <c r="F88" s="99">
        <v>46135</v>
      </c>
      <c r="G88" s="100">
        <v>46108</v>
      </c>
      <c r="H88" s="100" t="s">
        <v>120</v>
      </c>
      <c r="I88" s="100" t="s">
        <v>59</v>
      </c>
      <c r="J88" s="100" t="s">
        <v>44</v>
      </c>
      <c r="K88" s="100" t="s">
        <v>45</v>
      </c>
      <c r="L88" s="98">
        <v>1967</v>
      </c>
      <c r="M88" s="98">
        <v>3</v>
      </c>
      <c r="N88" s="98">
        <v>0</v>
      </c>
      <c r="O88" s="101">
        <v>3.69</v>
      </c>
      <c r="P88" s="101">
        <v>0</v>
      </c>
      <c r="Q88" s="101"/>
      <c r="R88" s="102">
        <v>0</v>
      </c>
      <c r="S88" s="103">
        <v>0</v>
      </c>
      <c r="T88" s="103">
        <v>0.00152516522623284</v>
      </c>
      <c r="U88" s="102">
        <v>1.23</v>
      </c>
      <c r="V88" s="102" t="e">
        <v>#DIV/0!</v>
      </c>
      <c r="W88" s="103" t="e">
        <v>#DIV/0!</v>
      </c>
    </row>
    <row r="89" customFormat="1" ht="22.5" customHeight="1" spans="1:23">
      <c r="A89" s="97" t="s">
        <v>186</v>
      </c>
      <c r="B89" s="98" t="s">
        <v>126</v>
      </c>
      <c r="C89" s="98" t="s">
        <v>118</v>
      </c>
      <c r="D89" s="98" t="s">
        <v>127</v>
      </c>
      <c r="E89" s="98" t="s">
        <v>31</v>
      </c>
      <c r="F89" s="99">
        <v>46104</v>
      </c>
      <c r="G89" s="100">
        <v>46104</v>
      </c>
      <c r="H89" s="100">
        <v>46134</v>
      </c>
      <c r="I89" s="100" t="s">
        <v>32</v>
      </c>
      <c r="J89" s="100" t="s">
        <v>97</v>
      </c>
      <c r="K89" s="100" t="s">
        <v>34</v>
      </c>
      <c r="L89" s="98">
        <v>778</v>
      </c>
      <c r="M89" s="98">
        <v>3</v>
      </c>
      <c r="N89" s="98">
        <v>0</v>
      </c>
      <c r="O89" s="101">
        <v>2.33</v>
      </c>
      <c r="P89" s="101">
        <v>0</v>
      </c>
      <c r="Q89" s="101"/>
      <c r="R89" s="102">
        <v>0</v>
      </c>
      <c r="S89" s="103">
        <v>0</v>
      </c>
      <c r="T89" s="103">
        <v>0.0038560411311054</v>
      </c>
      <c r="U89" s="102">
        <v>0.776666666666667</v>
      </c>
      <c r="V89" s="102" t="e">
        <v>#DIV/0!</v>
      </c>
      <c r="W89" s="103" t="e">
        <v>#DIV/0!</v>
      </c>
    </row>
    <row r="90" customFormat="1" ht="22.5" customHeight="1" spans="1:23">
      <c r="A90" s="97" t="s">
        <v>186</v>
      </c>
      <c r="B90" s="98" t="s">
        <v>109</v>
      </c>
      <c r="C90" s="98" t="s">
        <v>163</v>
      </c>
      <c r="D90" s="98" t="s">
        <v>164</v>
      </c>
      <c r="E90" s="98" t="s">
        <v>38</v>
      </c>
      <c r="F90" s="99">
        <v>46078</v>
      </c>
      <c r="G90" s="100">
        <v>46076</v>
      </c>
      <c r="H90" s="100">
        <v>46082</v>
      </c>
      <c r="I90" s="100" t="s">
        <v>96</v>
      </c>
      <c r="J90" s="100" t="s">
        <v>97</v>
      </c>
      <c r="K90" s="100" t="s">
        <v>34</v>
      </c>
      <c r="L90" s="98">
        <v>722</v>
      </c>
      <c r="M90" s="98">
        <v>3</v>
      </c>
      <c r="N90" s="98">
        <v>0</v>
      </c>
      <c r="O90" s="101">
        <v>2.87</v>
      </c>
      <c r="P90" s="101">
        <v>0</v>
      </c>
      <c r="Q90" s="101"/>
      <c r="R90" s="102">
        <v>0</v>
      </c>
      <c r="S90" s="103">
        <v>0</v>
      </c>
      <c r="T90" s="103">
        <v>0.00415512465373961</v>
      </c>
      <c r="U90" s="102">
        <v>0.956666666666667</v>
      </c>
      <c r="V90" s="102" t="e">
        <v>#DIV/0!</v>
      </c>
      <c r="W90" s="103" t="e">
        <v>#DIV/0!</v>
      </c>
    </row>
    <row r="91" customFormat="1" ht="22.5" customHeight="1" spans="1:23">
      <c r="A91" s="97" t="s">
        <v>186</v>
      </c>
      <c r="B91" s="98" t="s">
        <v>77</v>
      </c>
      <c r="C91" s="98" t="s">
        <v>78</v>
      </c>
      <c r="D91" s="98" t="s">
        <v>79</v>
      </c>
      <c r="E91" s="98" t="s">
        <v>80</v>
      </c>
      <c r="F91" s="99">
        <v>46087</v>
      </c>
      <c r="G91" s="100">
        <v>46070</v>
      </c>
      <c r="H91" s="100">
        <v>46086</v>
      </c>
      <c r="I91" s="100" t="s">
        <v>64</v>
      </c>
      <c r="J91" s="100" t="s">
        <v>52</v>
      </c>
      <c r="K91" s="100" t="s">
        <v>34</v>
      </c>
      <c r="L91" s="98">
        <v>1446</v>
      </c>
      <c r="M91" s="98">
        <v>2</v>
      </c>
      <c r="N91" s="98">
        <v>0</v>
      </c>
      <c r="O91" s="101">
        <v>0.59</v>
      </c>
      <c r="P91" s="101">
        <v>0</v>
      </c>
      <c r="Q91" s="101"/>
      <c r="R91" s="102">
        <v>0</v>
      </c>
      <c r="S91" s="103">
        <v>0</v>
      </c>
      <c r="T91" s="103">
        <v>0.00138312586445367</v>
      </c>
      <c r="U91" s="102">
        <v>0.295</v>
      </c>
      <c r="V91" s="102" t="e">
        <v>#DIV/0!</v>
      </c>
      <c r="W91" s="103" t="e">
        <v>#DIV/0!</v>
      </c>
    </row>
    <row r="92" customFormat="1" ht="22.5" customHeight="1" spans="1:23">
      <c r="A92" s="97" t="s">
        <v>186</v>
      </c>
      <c r="B92" s="98" t="s">
        <v>138</v>
      </c>
      <c r="C92" s="98" t="s">
        <v>139</v>
      </c>
      <c r="D92" s="98" t="s">
        <v>140</v>
      </c>
      <c r="E92" s="98" t="s">
        <v>31</v>
      </c>
      <c r="F92" s="99">
        <v>46092</v>
      </c>
      <c r="G92" s="100">
        <v>46091</v>
      </c>
      <c r="H92" s="100">
        <v>46101</v>
      </c>
      <c r="I92" s="100" t="s">
        <v>32</v>
      </c>
      <c r="J92" s="100" t="s">
        <v>39</v>
      </c>
      <c r="K92" s="100" t="s">
        <v>34</v>
      </c>
      <c r="L92" s="98">
        <v>1288</v>
      </c>
      <c r="M92" s="98">
        <v>2</v>
      </c>
      <c r="N92" s="98">
        <v>0</v>
      </c>
      <c r="O92" s="101">
        <v>0.71</v>
      </c>
      <c r="P92" s="101">
        <v>0</v>
      </c>
      <c r="Q92" s="101"/>
      <c r="R92" s="102">
        <v>0</v>
      </c>
      <c r="S92" s="103">
        <v>0</v>
      </c>
      <c r="T92" s="103">
        <v>0.0015527950310559</v>
      </c>
      <c r="U92" s="102">
        <v>0.355</v>
      </c>
      <c r="V92" s="102" t="e">
        <v>#DIV/0!</v>
      </c>
      <c r="W92" s="103" t="e">
        <v>#DIV/0!</v>
      </c>
    </row>
    <row r="93" customFormat="1" ht="22.5" customHeight="1" spans="1:23">
      <c r="A93" s="97" t="s">
        <v>186</v>
      </c>
      <c r="B93" s="98" t="s">
        <v>109</v>
      </c>
      <c r="C93" s="98" t="s">
        <v>110</v>
      </c>
      <c r="D93" s="98" t="s">
        <v>111</v>
      </c>
      <c r="E93" s="98" t="s">
        <v>38</v>
      </c>
      <c r="F93" s="99">
        <v>46078</v>
      </c>
      <c r="G93" s="100">
        <v>46076</v>
      </c>
      <c r="H93" s="100">
        <v>46084</v>
      </c>
      <c r="I93" s="100" t="s">
        <v>96</v>
      </c>
      <c r="J93" s="100" t="s">
        <v>97</v>
      </c>
      <c r="K93" s="100" t="s">
        <v>45</v>
      </c>
      <c r="L93" s="98">
        <v>1038</v>
      </c>
      <c r="M93" s="98">
        <v>2</v>
      </c>
      <c r="N93" s="98">
        <v>0</v>
      </c>
      <c r="O93" s="101">
        <v>2.12</v>
      </c>
      <c r="P93" s="101">
        <v>0</v>
      </c>
      <c r="Q93" s="101"/>
      <c r="R93" s="102">
        <v>0</v>
      </c>
      <c r="S93" s="103">
        <v>0</v>
      </c>
      <c r="T93" s="103">
        <v>0.00192678227360308</v>
      </c>
      <c r="U93" s="102">
        <v>1.06</v>
      </c>
      <c r="V93" s="102" t="e">
        <v>#DIV/0!</v>
      </c>
      <c r="W93" s="103" t="e">
        <v>#DIV/0!</v>
      </c>
    </row>
    <row r="94" customFormat="1" ht="22.5" customHeight="1" spans="1:23">
      <c r="A94" s="97" t="s">
        <v>186</v>
      </c>
      <c r="B94" s="98" t="s">
        <v>187</v>
      </c>
      <c r="C94" s="98" t="s">
        <v>190</v>
      </c>
      <c r="D94" s="98" t="s">
        <v>191</v>
      </c>
      <c r="E94" s="98" t="s">
        <v>63</v>
      </c>
      <c r="F94" s="99">
        <v>46135</v>
      </c>
      <c r="G94" s="100">
        <v>46108</v>
      </c>
      <c r="H94" s="100" t="s">
        <v>120</v>
      </c>
      <c r="I94" s="100" t="s">
        <v>59</v>
      </c>
      <c r="J94" s="100" t="s">
        <v>44</v>
      </c>
      <c r="K94" s="100" t="s">
        <v>45</v>
      </c>
      <c r="L94" s="98">
        <v>1857</v>
      </c>
      <c r="M94" s="98">
        <v>1</v>
      </c>
      <c r="N94" s="98">
        <v>0</v>
      </c>
      <c r="O94" s="101">
        <v>0.76</v>
      </c>
      <c r="P94" s="101">
        <v>0</v>
      </c>
      <c r="Q94" s="101"/>
      <c r="R94" s="102">
        <v>0</v>
      </c>
      <c r="S94" s="103">
        <v>0</v>
      </c>
      <c r="T94" s="103">
        <v>0.00053850296176629</v>
      </c>
      <c r="U94" s="102">
        <v>0.76</v>
      </c>
      <c r="V94" s="102" t="e">
        <v>#DIV/0!</v>
      </c>
      <c r="W94" s="103" t="e">
        <v>#DIV/0!</v>
      </c>
    </row>
    <row r="95" customFormat="1" ht="22.5" customHeight="1" spans="1:23">
      <c r="A95" s="97" t="s">
        <v>186</v>
      </c>
      <c r="B95" s="98" t="s">
        <v>146</v>
      </c>
      <c r="C95" s="98" t="s">
        <v>122</v>
      </c>
      <c r="D95" s="98" t="s">
        <v>147</v>
      </c>
      <c r="E95" s="98" t="s">
        <v>31</v>
      </c>
      <c r="F95" s="99">
        <v>46098</v>
      </c>
      <c r="G95" s="100">
        <v>46097</v>
      </c>
      <c r="H95" s="100">
        <v>46103</v>
      </c>
      <c r="I95" s="100" t="s">
        <v>51</v>
      </c>
      <c r="J95" s="100" t="s">
        <v>44</v>
      </c>
      <c r="K95" s="100" t="s">
        <v>34</v>
      </c>
      <c r="L95" s="98">
        <v>1677</v>
      </c>
      <c r="M95" s="98">
        <v>1</v>
      </c>
      <c r="N95" s="98">
        <v>0</v>
      </c>
      <c r="O95" s="101">
        <v>0.44</v>
      </c>
      <c r="P95" s="101">
        <v>0</v>
      </c>
      <c r="Q95" s="101"/>
      <c r="R95" s="102">
        <v>0</v>
      </c>
      <c r="S95" s="103">
        <v>0</v>
      </c>
      <c r="T95" s="103">
        <v>0.000596302921884317</v>
      </c>
      <c r="U95" s="102">
        <v>0.44</v>
      </c>
      <c r="V95" s="102" t="e">
        <v>#DIV/0!</v>
      </c>
      <c r="W95" s="103" t="e">
        <v>#DIV/0!</v>
      </c>
    </row>
    <row r="96" customFormat="1" ht="22.5" customHeight="1" spans="1:23">
      <c r="A96" s="97" t="s">
        <v>186</v>
      </c>
      <c r="B96" s="98" t="s">
        <v>109</v>
      </c>
      <c r="C96" s="98" t="s">
        <v>161</v>
      </c>
      <c r="D96" s="98" t="s">
        <v>162</v>
      </c>
      <c r="E96" s="98" t="s">
        <v>38</v>
      </c>
      <c r="F96" s="99">
        <v>46078</v>
      </c>
      <c r="G96" s="100">
        <v>46076</v>
      </c>
      <c r="H96" s="100">
        <v>46096</v>
      </c>
      <c r="I96" s="100" t="s">
        <v>96</v>
      </c>
      <c r="J96" s="100" t="s">
        <v>97</v>
      </c>
      <c r="K96" s="100" t="s">
        <v>45</v>
      </c>
      <c r="L96" s="98">
        <v>1396</v>
      </c>
      <c r="M96" s="98">
        <v>1</v>
      </c>
      <c r="N96" s="98">
        <v>0</v>
      </c>
      <c r="O96" s="101">
        <v>1.13</v>
      </c>
      <c r="P96" s="101">
        <v>0</v>
      </c>
      <c r="Q96" s="101"/>
      <c r="R96" s="102">
        <v>0</v>
      </c>
      <c r="S96" s="103">
        <v>0</v>
      </c>
      <c r="T96" s="103">
        <v>0.000716332378223496</v>
      </c>
      <c r="U96" s="102">
        <v>1.13</v>
      </c>
      <c r="V96" s="102" t="e">
        <v>#DIV/0!</v>
      </c>
      <c r="W96" s="103" t="e">
        <v>#DIV/0!</v>
      </c>
    </row>
    <row r="97" customFormat="1" ht="22.5" customHeight="1" spans="1:23">
      <c r="A97" s="97" t="s">
        <v>186</v>
      </c>
      <c r="B97" s="98" t="s">
        <v>60</v>
      </c>
      <c r="C97" s="98" t="s">
        <v>61</v>
      </c>
      <c r="D97" s="98" t="s">
        <v>62</v>
      </c>
      <c r="E97" s="98" t="s">
        <v>63</v>
      </c>
      <c r="F97" s="99">
        <v>46115</v>
      </c>
      <c r="G97" s="100">
        <v>46070</v>
      </c>
      <c r="H97" s="100">
        <v>46073</v>
      </c>
      <c r="I97" s="100" t="s">
        <v>64</v>
      </c>
      <c r="J97" s="100" t="s">
        <v>52</v>
      </c>
      <c r="K97" s="100" t="s">
        <v>34</v>
      </c>
      <c r="L97" s="98">
        <v>1049</v>
      </c>
      <c r="M97" s="98">
        <v>1</v>
      </c>
      <c r="N97" s="98">
        <v>0</v>
      </c>
      <c r="O97" s="101">
        <v>0.46</v>
      </c>
      <c r="P97" s="101">
        <v>0</v>
      </c>
      <c r="Q97" s="101"/>
      <c r="R97" s="102">
        <v>0</v>
      </c>
      <c r="S97" s="103">
        <v>0</v>
      </c>
      <c r="T97" s="103">
        <v>0.000953288846520496</v>
      </c>
      <c r="U97" s="102">
        <v>0.46</v>
      </c>
      <c r="V97" s="102" t="e">
        <v>#DIV/0!</v>
      </c>
      <c r="W97" s="103" t="e">
        <v>#DIV/0!</v>
      </c>
    </row>
    <row r="98" customFormat="1" ht="22.5" customHeight="1" spans="1:23">
      <c r="A98" s="97" t="s">
        <v>186</v>
      </c>
      <c r="B98" s="98" t="s">
        <v>158</v>
      </c>
      <c r="C98" s="98" t="s">
        <v>61</v>
      </c>
      <c r="D98" s="98" t="s">
        <v>159</v>
      </c>
      <c r="E98" s="98" t="s">
        <v>80</v>
      </c>
      <c r="F98" s="99">
        <v>46115</v>
      </c>
      <c r="G98" s="100">
        <v>46070</v>
      </c>
      <c r="H98" s="100">
        <v>46073</v>
      </c>
      <c r="I98" s="100" t="s">
        <v>64</v>
      </c>
      <c r="J98" s="100" t="s">
        <v>52</v>
      </c>
      <c r="K98" s="100" t="s">
        <v>34</v>
      </c>
      <c r="L98" s="98">
        <v>853</v>
      </c>
      <c r="M98" s="98">
        <v>1</v>
      </c>
      <c r="N98" s="98">
        <v>0</v>
      </c>
      <c r="O98" s="101">
        <v>0.49</v>
      </c>
      <c r="P98" s="101">
        <v>0</v>
      </c>
      <c r="Q98" s="101"/>
      <c r="R98" s="102">
        <v>0</v>
      </c>
      <c r="S98" s="103">
        <v>0</v>
      </c>
      <c r="T98" s="103">
        <v>0.00117233294255569</v>
      </c>
      <c r="U98" s="102">
        <v>0.49</v>
      </c>
      <c r="V98" s="102" t="e">
        <v>#DIV/0!</v>
      </c>
      <c r="W98" s="103" t="e">
        <v>#DIV/0!</v>
      </c>
    </row>
    <row r="99" customFormat="1" ht="22.5" customHeight="1" spans="1:23">
      <c r="A99" s="97" t="s">
        <v>186</v>
      </c>
      <c r="B99" s="98" t="s">
        <v>192</v>
      </c>
      <c r="C99" s="98" t="s">
        <v>41</v>
      </c>
      <c r="D99" s="98" t="s">
        <v>193</v>
      </c>
      <c r="E99" s="98" t="s">
        <v>31</v>
      </c>
      <c r="F99" s="99">
        <v>46134</v>
      </c>
      <c r="G99" s="100">
        <v>46062</v>
      </c>
      <c r="H99" s="100">
        <v>46068</v>
      </c>
      <c r="I99" s="100" t="s">
        <v>32</v>
      </c>
      <c r="J99" s="100" t="s">
        <v>44</v>
      </c>
      <c r="K99" s="100" t="s">
        <v>45</v>
      </c>
      <c r="L99" s="98">
        <v>289</v>
      </c>
      <c r="M99" s="98">
        <v>1</v>
      </c>
      <c r="N99" s="98">
        <v>0</v>
      </c>
      <c r="O99" s="101">
        <v>0.44</v>
      </c>
      <c r="P99" s="101">
        <v>0</v>
      </c>
      <c r="Q99" s="101"/>
      <c r="R99" s="102">
        <v>0</v>
      </c>
      <c r="S99" s="103">
        <v>0</v>
      </c>
      <c r="T99" s="103">
        <v>0.00346020761245675</v>
      </c>
      <c r="U99" s="102">
        <v>0.44</v>
      </c>
      <c r="V99" s="102" t="e">
        <v>#DIV/0!</v>
      </c>
      <c r="W99" s="103" t="e">
        <v>#DIV/0!</v>
      </c>
    </row>
    <row r="100" customFormat="1" ht="22.5" customHeight="1" spans="1:23">
      <c r="A100" s="97" t="s">
        <v>186</v>
      </c>
      <c r="B100" s="98" t="s">
        <v>65</v>
      </c>
      <c r="C100" s="98" t="s">
        <v>142</v>
      </c>
      <c r="D100" s="98" t="s">
        <v>169</v>
      </c>
      <c r="E100" s="98" t="s">
        <v>31</v>
      </c>
      <c r="F100" s="99">
        <v>46114</v>
      </c>
      <c r="G100" s="100">
        <v>46092</v>
      </c>
      <c r="H100" s="100">
        <v>46096</v>
      </c>
      <c r="I100" s="100" t="s">
        <v>68</v>
      </c>
      <c r="J100" s="100" t="s">
        <v>39</v>
      </c>
      <c r="K100" s="100" t="s">
        <v>45</v>
      </c>
      <c r="L100" s="98">
        <v>56</v>
      </c>
      <c r="M100" s="98">
        <v>1</v>
      </c>
      <c r="N100" s="98">
        <v>0</v>
      </c>
      <c r="O100" s="101">
        <v>0.39</v>
      </c>
      <c r="P100" s="101">
        <v>0</v>
      </c>
      <c r="Q100" s="101"/>
      <c r="R100" s="102">
        <v>0</v>
      </c>
      <c r="S100" s="103">
        <v>0</v>
      </c>
      <c r="T100" s="103">
        <v>0.0178571428571429</v>
      </c>
      <c r="U100" s="102">
        <v>0.39</v>
      </c>
      <c r="V100" s="102" t="e">
        <v>#DIV/0!</v>
      </c>
      <c r="W100" s="103" t="e">
        <v>#DIV/0!</v>
      </c>
    </row>
    <row r="101" customFormat="1" ht="22.5" customHeight="1" spans="1:23">
      <c r="A101" s="97" t="s">
        <v>186</v>
      </c>
      <c r="B101" s="98" t="s">
        <v>106</v>
      </c>
      <c r="C101" s="98" t="s">
        <v>107</v>
      </c>
      <c r="D101" s="98" t="s">
        <v>108</v>
      </c>
      <c r="E101" s="98" t="s">
        <v>31</v>
      </c>
      <c r="F101" s="99">
        <v>46094</v>
      </c>
      <c r="G101" s="100">
        <v>46093</v>
      </c>
      <c r="H101" s="100">
        <v>46100</v>
      </c>
      <c r="I101" s="100" t="s">
        <v>32</v>
      </c>
      <c r="J101" s="100" t="s">
        <v>33</v>
      </c>
      <c r="K101" s="100" t="s">
        <v>34</v>
      </c>
      <c r="L101" s="98">
        <v>44</v>
      </c>
      <c r="M101" s="98">
        <v>1</v>
      </c>
      <c r="N101" s="98">
        <v>0</v>
      </c>
      <c r="O101" s="101">
        <v>0.43</v>
      </c>
      <c r="P101" s="101">
        <v>0</v>
      </c>
      <c r="Q101" s="101"/>
      <c r="R101" s="102">
        <v>0</v>
      </c>
      <c r="S101" s="103">
        <v>0</v>
      </c>
      <c r="T101" s="103">
        <v>0.0227272727272727</v>
      </c>
      <c r="U101" s="102">
        <v>0.43</v>
      </c>
      <c r="V101" s="102" t="e">
        <v>#DIV/0!</v>
      </c>
      <c r="W101" s="103" t="e">
        <v>#DIV/0!</v>
      </c>
    </row>
    <row r="102" customFormat="1" ht="22.5" customHeight="1" spans="1:23">
      <c r="A102" s="97" t="s">
        <v>186</v>
      </c>
      <c r="B102" s="98" t="s">
        <v>173</v>
      </c>
      <c r="C102" s="98" t="s">
        <v>174</v>
      </c>
      <c r="D102" s="98" t="s">
        <v>175</v>
      </c>
      <c r="E102" s="98" t="s">
        <v>63</v>
      </c>
      <c r="F102" s="99">
        <v>46120</v>
      </c>
      <c r="G102" s="100">
        <v>46105</v>
      </c>
      <c r="H102" s="100">
        <v>46125</v>
      </c>
      <c r="I102" s="100" t="s">
        <v>59</v>
      </c>
      <c r="J102" s="100" t="s">
        <v>92</v>
      </c>
      <c r="K102" s="100" t="s">
        <v>34</v>
      </c>
      <c r="L102" s="98">
        <v>43</v>
      </c>
      <c r="M102" s="98">
        <v>1</v>
      </c>
      <c r="N102" s="98">
        <v>0</v>
      </c>
      <c r="O102" s="101">
        <v>0.09</v>
      </c>
      <c r="P102" s="101">
        <v>0</v>
      </c>
      <c r="Q102" s="101"/>
      <c r="R102" s="102">
        <v>0</v>
      </c>
      <c r="S102" s="103">
        <v>0</v>
      </c>
      <c r="T102" s="103">
        <v>0.0232558139534884</v>
      </c>
      <c r="U102" s="102">
        <v>0.09</v>
      </c>
      <c r="V102" s="102" t="e">
        <v>#DIV/0!</v>
      </c>
      <c r="W102" s="103" t="e">
        <v>#DIV/0!</v>
      </c>
    </row>
    <row r="103" customFormat="1" ht="22.5" customHeight="1" spans="1:23">
      <c r="A103" s="97" t="s">
        <v>186</v>
      </c>
      <c r="B103" s="98" t="s">
        <v>93</v>
      </c>
      <c r="C103" s="98" t="s">
        <v>94</v>
      </c>
      <c r="D103" s="98" t="s">
        <v>95</v>
      </c>
      <c r="E103" s="98" t="s">
        <v>31</v>
      </c>
      <c r="F103" s="99">
        <v>46100</v>
      </c>
      <c r="G103" s="100">
        <v>46097</v>
      </c>
      <c r="H103" s="100">
        <v>46100</v>
      </c>
      <c r="I103" s="100" t="s">
        <v>96</v>
      </c>
      <c r="J103" s="100" t="s">
        <v>97</v>
      </c>
      <c r="K103" s="100" t="s">
        <v>34</v>
      </c>
      <c r="L103" s="98">
        <v>32</v>
      </c>
      <c r="M103" s="98">
        <v>1</v>
      </c>
      <c r="N103" s="98">
        <v>0</v>
      </c>
      <c r="O103" s="101">
        <v>0.8</v>
      </c>
      <c r="P103" s="101">
        <v>0</v>
      </c>
      <c r="Q103" s="101"/>
      <c r="R103" s="102">
        <v>0</v>
      </c>
      <c r="S103" s="103">
        <v>0</v>
      </c>
      <c r="T103" s="103">
        <v>0.03125</v>
      </c>
      <c r="U103" s="102">
        <v>0.8</v>
      </c>
      <c r="V103" s="102" t="e">
        <v>#DIV/0!</v>
      </c>
      <c r="W103" s="103" t="e">
        <v>#DIV/0!</v>
      </c>
    </row>
    <row r="104" customFormat="1" ht="22.5" customHeight="1" spans="1:23">
      <c r="A104" s="97" t="s">
        <v>186</v>
      </c>
      <c r="B104" s="98" t="s">
        <v>141</v>
      </c>
      <c r="C104" s="98" t="s">
        <v>142</v>
      </c>
      <c r="D104" s="98" t="s">
        <v>143</v>
      </c>
      <c r="E104" s="98" t="s">
        <v>63</v>
      </c>
      <c r="F104" s="99">
        <v>46121</v>
      </c>
      <c r="G104" s="100">
        <v>46092</v>
      </c>
      <c r="H104" s="100">
        <v>46096</v>
      </c>
      <c r="I104" s="100" t="s">
        <v>68</v>
      </c>
      <c r="J104" s="100" t="s">
        <v>39</v>
      </c>
      <c r="K104" s="100" t="s">
        <v>45</v>
      </c>
      <c r="L104" s="98">
        <v>1249</v>
      </c>
      <c r="M104" s="98">
        <v>0</v>
      </c>
      <c r="N104" s="98">
        <v>0</v>
      </c>
      <c r="O104" s="101">
        <v>0</v>
      </c>
      <c r="P104" s="101">
        <v>0</v>
      </c>
      <c r="Q104" s="101"/>
      <c r="R104" s="102" t="e">
        <v>#DIV/0!</v>
      </c>
      <c r="S104" s="103" t="e">
        <v>#DIV/0!</v>
      </c>
      <c r="T104" s="103">
        <v>0</v>
      </c>
      <c r="U104" s="102" t="e">
        <v>#DIV/0!</v>
      </c>
      <c r="V104" s="102" t="e">
        <v>#DIV/0!</v>
      </c>
      <c r="W104" s="103" t="e">
        <v>#DIV/0!</v>
      </c>
    </row>
    <row r="105" customFormat="1" ht="22.5" customHeight="1" spans="1:23">
      <c r="A105" s="97" t="s">
        <v>186</v>
      </c>
      <c r="B105" s="98" t="s">
        <v>141</v>
      </c>
      <c r="C105" s="98" t="s">
        <v>66</v>
      </c>
      <c r="D105" s="98" t="s">
        <v>160</v>
      </c>
      <c r="E105" s="98" t="s">
        <v>63</v>
      </c>
      <c r="F105" s="99">
        <v>46121</v>
      </c>
      <c r="G105" s="100">
        <v>46092</v>
      </c>
      <c r="H105" s="100">
        <v>46112</v>
      </c>
      <c r="I105" s="100" t="s">
        <v>68</v>
      </c>
      <c r="J105" s="100" t="s">
        <v>39</v>
      </c>
      <c r="K105" s="100" t="s">
        <v>45</v>
      </c>
      <c r="L105" s="98">
        <v>762</v>
      </c>
      <c r="M105" s="98">
        <v>0</v>
      </c>
      <c r="N105" s="98">
        <v>0</v>
      </c>
      <c r="O105" s="101">
        <v>0</v>
      </c>
      <c r="P105" s="101">
        <v>0</v>
      </c>
      <c r="Q105" s="101"/>
      <c r="R105" s="102" t="e">
        <v>#DIV/0!</v>
      </c>
      <c r="S105" s="103" t="e">
        <v>#DIV/0!</v>
      </c>
      <c r="T105" s="103">
        <v>0</v>
      </c>
      <c r="U105" s="102" t="e">
        <v>#DIV/0!</v>
      </c>
      <c r="V105" s="102" t="e">
        <v>#DIV/0!</v>
      </c>
      <c r="W105" s="103" t="e">
        <v>#DIV/0!</v>
      </c>
    </row>
    <row r="106" customFormat="1" ht="22.5" customHeight="1" spans="1:23">
      <c r="A106" s="97" t="s">
        <v>186</v>
      </c>
      <c r="B106" s="98" t="s">
        <v>165</v>
      </c>
      <c r="C106" s="98" t="s">
        <v>78</v>
      </c>
      <c r="D106" s="98" t="s">
        <v>166</v>
      </c>
      <c r="E106" s="98" t="s">
        <v>63</v>
      </c>
      <c r="F106" s="99">
        <v>46087</v>
      </c>
      <c r="G106" s="100">
        <v>46070</v>
      </c>
      <c r="H106" s="100">
        <v>46086</v>
      </c>
      <c r="I106" s="100" t="s">
        <v>64</v>
      </c>
      <c r="J106" s="100" t="s">
        <v>52</v>
      </c>
      <c r="K106" s="100" t="s">
        <v>34</v>
      </c>
      <c r="L106" s="98">
        <v>246</v>
      </c>
      <c r="M106" s="98">
        <v>0</v>
      </c>
      <c r="N106" s="98">
        <v>0</v>
      </c>
      <c r="O106" s="101">
        <v>0</v>
      </c>
      <c r="P106" s="101">
        <v>0</v>
      </c>
      <c r="Q106" s="101"/>
      <c r="R106" s="102" t="e">
        <v>#DIV/0!</v>
      </c>
      <c r="S106" s="103" t="e">
        <v>#DIV/0!</v>
      </c>
      <c r="T106" s="103">
        <v>0</v>
      </c>
      <c r="U106" s="102" t="e">
        <v>#DIV/0!</v>
      </c>
      <c r="V106" s="102" t="e">
        <v>#DIV/0!</v>
      </c>
      <c r="W106" s="103" t="e">
        <v>#DIV/0!</v>
      </c>
    </row>
    <row r="107" customFormat="1" ht="22.5" customHeight="1" spans="1:23">
      <c r="A107" s="97" t="s">
        <v>186</v>
      </c>
      <c r="B107" s="98" t="s">
        <v>65</v>
      </c>
      <c r="C107" s="98" t="s">
        <v>66</v>
      </c>
      <c r="D107" s="98" t="s">
        <v>67</v>
      </c>
      <c r="E107" s="98" t="s">
        <v>31</v>
      </c>
      <c r="F107" s="99">
        <v>46114</v>
      </c>
      <c r="G107" s="100">
        <v>46092</v>
      </c>
      <c r="H107" s="100">
        <v>46112</v>
      </c>
      <c r="I107" s="100" t="s">
        <v>68</v>
      </c>
      <c r="J107" s="100" t="s">
        <v>39</v>
      </c>
      <c r="K107" s="100" t="s">
        <v>45</v>
      </c>
      <c r="L107" s="98">
        <v>88</v>
      </c>
      <c r="M107" s="98">
        <v>0</v>
      </c>
      <c r="N107" s="98">
        <v>0</v>
      </c>
      <c r="O107" s="101">
        <v>0</v>
      </c>
      <c r="P107" s="101">
        <v>0</v>
      </c>
      <c r="Q107" s="101"/>
      <c r="R107" s="102" t="e">
        <v>#DIV/0!</v>
      </c>
      <c r="S107" s="103" t="e">
        <v>#DIV/0!</v>
      </c>
      <c r="T107" s="103">
        <v>0</v>
      </c>
      <c r="U107" s="102" t="e">
        <v>#DIV/0!</v>
      </c>
      <c r="V107" s="102" t="e">
        <v>#DIV/0!</v>
      </c>
      <c r="W107" s="103" t="e">
        <v>#DIV/0!</v>
      </c>
    </row>
    <row r="108" customFormat="1" ht="22.5" customHeight="1" spans="1:23">
      <c r="A108" s="97" t="s">
        <v>186</v>
      </c>
      <c r="B108" s="98" t="s">
        <v>170</v>
      </c>
      <c r="C108" s="98" t="s">
        <v>171</v>
      </c>
      <c r="D108" s="98" t="s">
        <v>172</v>
      </c>
      <c r="E108" s="98" t="s">
        <v>63</v>
      </c>
      <c r="F108" s="99">
        <v>46120</v>
      </c>
      <c r="G108" s="100">
        <v>46105</v>
      </c>
      <c r="H108" s="100">
        <v>46125</v>
      </c>
      <c r="I108" s="100" t="s">
        <v>59</v>
      </c>
      <c r="J108" s="100" t="s">
        <v>92</v>
      </c>
      <c r="K108" s="100" t="s">
        <v>34</v>
      </c>
      <c r="L108" s="98">
        <v>46</v>
      </c>
      <c r="M108" s="98">
        <v>0</v>
      </c>
      <c r="N108" s="98">
        <v>0</v>
      </c>
      <c r="O108" s="101">
        <v>0</v>
      </c>
      <c r="P108" s="101">
        <v>0</v>
      </c>
      <c r="Q108" s="101"/>
      <c r="R108" s="102" t="e">
        <v>#DIV/0!</v>
      </c>
      <c r="S108" s="103" t="e">
        <v>#DIV/0!</v>
      </c>
      <c r="T108" s="103">
        <v>0</v>
      </c>
      <c r="U108" s="102" t="e">
        <v>#DIV/0!</v>
      </c>
      <c r="V108" s="102" t="e">
        <v>#DIV/0!</v>
      </c>
      <c r="W108" s="103" t="e">
        <v>#DIV/0!</v>
      </c>
    </row>
    <row r="109" customFormat="1" ht="22.5" customHeight="1" spans="1:23">
      <c r="A109" s="97" t="s">
        <v>186</v>
      </c>
      <c r="B109" s="98" t="s">
        <v>183</v>
      </c>
      <c r="C109" s="98" t="s">
        <v>184</v>
      </c>
      <c r="D109" s="98" t="s">
        <v>185</v>
      </c>
      <c r="E109" s="98" t="s">
        <v>63</v>
      </c>
      <c r="F109" s="99">
        <v>46099</v>
      </c>
      <c r="G109" s="100">
        <v>46085</v>
      </c>
      <c r="H109" s="100">
        <v>46089</v>
      </c>
      <c r="I109" s="100" t="s">
        <v>51</v>
      </c>
      <c r="J109" s="100" t="s">
        <v>52</v>
      </c>
      <c r="K109" s="100" t="s">
        <v>34</v>
      </c>
      <c r="L109" s="98">
        <v>0</v>
      </c>
      <c r="M109" s="98">
        <v>0</v>
      </c>
      <c r="N109" s="98">
        <v>0</v>
      </c>
      <c r="O109" s="101">
        <v>0</v>
      </c>
      <c r="P109" s="101">
        <v>0</v>
      </c>
      <c r="Q109" s="101"/>
      <c r="R109" s="102" t="e">
        <v>#DIV/0!</v>
      </c>
      <c r="S109" s="103" t="e">
        <v>#DIV/0!</v>
      </c>
      <c r="T109" s="103" t="e">
        <v>#DIV/0!</v>
      </c>
      <c r="U109" s="102" t="e">
        <v>#DIV/0!</v>
      </c>
      <c r="V109" s="102" t="e">
        <v>#DIV/0!</v>
      </c>
      <c r="W109" s="103" t="e">
        <v>#DIV/0!</v>
      </c>
    </row>
    <row r="110" customFormat="1" ht="22.5" customHeight="1" spans="1:23">
      <c r="A110" s="97" t="s">
        <v>186</v>
      </c>
      <c r="B110" s="98" t="s">
        <v>187</v>
      </c>
      <c r="C110" s="98" t="s">
        <v>194</v>
      </c>
      <c r="D110" s="98" t="s">
        <v>195</v>
      </c>
      <c r="E110" s="98" t="s">
        <v>63</v>
      </c>
      <c r="F110" s="99">
        <v>46135</v>
      </c>
      <c r="G110" s="100">
        <v>46104</v>
      </c>
      <c r="H110" s="100" t="s">
        <v>120</v>
      </c>
      <c r="I110" s="100" t="s">
        <v>51</v>
      </c>
      <c r="J110" s="100" t="s">
        <v>44</v>
      </c>
      <c r="K110" s="100" t="s">
        <v>34</v>
      </c>
      <c r="L110" s="98">
        <v>0</v>
      </c>
      <c r="M110" s="98">
        <v>0</v>
      </c>
      <c r="N110" s="98">
        <v>0</v>
      </c>
      <c r="O110" s="101">
        <v>0</v>
      </c>
      <c r="P110" s="101">
        <v>0</v>
      </c>
      <c r="Q110" s="101"/>
      <c r="R110" s="102" t="e">
        <v>#DIV/0!</v>
      </c>
      <c r="S110" s="103" t="e">
        <v>#DIV/0!</v>
      </c>
      <c r="T110" s="103" t="e">
        <v>#DIV/0!</v>
      </c>
      <c r="U110" s="102" t="e">
        <v>#DIV/0!</v>
      </c>
      <c r="V110" s="102" t="e">
        <v>#DIV/0!</v>
      </c>
      <c r="W110" s="103" t="e">
        <v>#DIV/0!</v>
      </c>
    </row>
    <row r="111" customFormat="1" ht="22.5" customHeight="1" spans="1:23">
      <c r="A111" s="97" t="s">
        <v>186</v>
      </c>
      <c r="B111" s="98" t="s">
        <v>196</v>
      </c>
      <c r="C111" s="98" t="s">
        <v>197</v>
      </c>
      <c r="D111" s="98" t="s">
        <v>198</v>
      </c>
      <c r="E111" s="98" t="s">
        <v>31</v>
      </c>
      <c r="F111" s="99">
        <v>46136</v>
      </c>
      <c r="G111" s="100">
        <v>46135</v>
      </c>
      <c r="H111" s="100" t="s">
        <v>120</v>
      </c>
      <c r="I111" s="100" t="s">
        <v>32</v>
      </c>
      <c r="J111" s="100" t="s">
        <v>199</v>
      </c>
      <c r="K111" s="100" t="s">
        <v>34</v>
      </c>
      <c r="L111" s="98">
        <v>0</v>
      </c>
      <c r="M111" s="98">
        <v>0</v>
      </c>
      <c r="N111" s="98">
        <v>0</v>
      </c>
      <c r="O111" s="101">
        <v>0</v>
      </c>
      <c r="P111" s="101">
        <v>0</v>
      </c>
      <c r="Q111" s="101"/>
      <c r="R111" s="102" t="e">
        <v>#DIV/0!</v>
      </c>
      <c r="S111" s="103" t="e">
        <v>#DIV/0!</v>
      </c>
      <c r="T111" s="103" t="e">
        <v>#DIV/0!</v>
      </c>
      <c r="U111" s="102" t="e">
        <v>#DIV/0!</v>
      </c>
      <c r="V111" s="102" t="e">
        <v>#DIV/0!</v>
      </c>
      <c r="W111" s="103" t="e">
        <v>#DIV/0!</v>
      </c>
    </row>
    <row r="112" customFormat="1" ht="22.5" customHeight="1" spans="1:23">
      <c r="A112" s="97" t="s">
        <v>186</v>
      </c>
      <c r="B112" s="98" t="s">
        <v>200</v>
      </c>
      <c r="C112" s="98" t="s">
        <v>201</v>
      </c>
      <c r="D112" s="98" t="s">
        <v>202</v>
      </c>
      <c r="E112" s="98" t="s">
        <v>31</v>
      </c>
      <c r="F112" s="99">
        <v>46136</v>
      </c>
      <c r="G112" s="100">
        <v>46135</v>
      </c>
      <c r="H112" s="100" t="s">
        <v>120</v>
      </c>
      <c r="I112" s="100" t="s">
        <v>59</v>
      </c>
      <c r="J112" s="100" t="s">
        <v>199</v>
      </c>
      <c r="K112" s="100" t="s">
        <v>34</v>
      </c>
      <c r="L112" s="98">
        <v>0</v>
      </c>
      <c r="M112" s="98">
        <v>0</v>
      </c>
      <c r="N112" s="98">
        <v>0</v>
      </c>
      <c r="O112" s="101">
        <v>0</v>
      </c>
      <c r="P112" s="101">
        <v>0</v>
      </c>
      <c r="Q112" s="101"/>
      <c r="R112" s="102" t="e">
        <v>#DIV/0!</v>
      </c>
      <c r="S112" s="103" t="e">
        <v>#DIV/0!</v>
      </c>
      <c r="T112" s="103" t="e">
        <v>#DIV/0!</v>
      </c>
      <c r="U112" s="102" t="e">
        <v>#DIV/0!</v>
      </c>
      <c r="V112" s="102" t="e">
        <v>#DIV/0!</v>
      </c>
      <c r="W112" s="103" t="e">
        <v>#DIV/0!</v>
      </c>
    </row>
    <row r="113" customFormat="1" ht="22.5" customHeight="1" spans="1:23">
      <c r="A113" s="97" t="s">
        <v>186</v>
      </c>
      <c r="B113" s="98" t="s">
        <v>203</v>
      </c>
      <c r="C113" s="98" t="s">
        <v>204</v>
      </c>
      <c r="D113" s="98" t="s">
        <v>205</v>
      </c>
      <c r="E113" s="98" t="s">
        <v>31</v>
      </c>
      <c r="F113" s="99">
        <v>46136</v>
      </c>
      <c r="G113" s="100">
        <v>46135</v>
      </c>
      <c r="H113" s="100" t="s">
        <v>120</v>
      </c>
      <c r="I113" s="100" t="s">
        <v>96</v>
      </c>
      <c r="J113" s="100" t="s">
        <v>199</v>
      </c>
      <c r="K113" s="100" t="s">
        <v>34</v>
      </c>
      <c r="L113" s="98">
        <v>0</v>
      </c>
      <c r="M113" s="98">
        <v>0</v>
      </c>
      <c r="N113" s="98">
        <v>0</v>
      </c>
      <c r="O113" s="101">
        <v>0</v>
      </c>
      <c r="P113" s="101">
        <v>0</v>
      </c>
      <c r="Q113" s="101"/>
      <c r="R113" s="102" t="e">
        <v>#DIV/0!</v>
      </c>
      <c r="S113" s="103" t="e">
        <v>#DIV/0!</v>
      </c>
      <c r="T113" s="103" t="e">
        <v>#DIV/0!</v>
      </c>
      <c r="U113" s="102" t="e">
        <v>#DIV/0!</v>
      </c>
      <c r="V113" s="102" t="e">
        <v>#DIV/0!</v>
      </c>
      <c r="W113" s="103" t="e">
        <v>#DIV/0!</v>
      </c>
    </row>
    <row r="114" customFormat="1" ht="22.5" customHeight="1" spans="1:23">
      <c r="A114" s="97" t="s">
        <v>186</v>
      </c>
      <c r="B114" s="98" t="s">
        <v>206</v>
      </c>
      <c r="C114" s="98" t="s">
        <v>207</v>
      </c>
      <c r="D114" s="98" t="s">
        <v>208</v>
      </c>
      <c r="E114" s="98" t="s">
        <v>31</v>
      </c>
      <c r="F114" s="99">
        <v>46137</v>
      </c>
      <c r="G114" s="100">
        <v>46135</v>
      </c>
      <c r="H114" s="100" t="s">
        <v>120</v>
      </c>
      <c r="I114" s="100" t="s">
        <v>51</v>
      </c>
      <c r="J114" s="100" t="s">
        <v>199</v>
      </c>
      <c r="K114" s="100" t="s">
        <v>34</v>
      </c>
      <c r="L114" s="98">
        <v>0</v>
      </c>
      <c r="M114" s="98">
        <v>0</v>
      </c>
      <c r="N114" s="98">
        <v>0</v>
      </c>
      <c r="O114" s="101">
        <v>0</v>
      </c>
      <c r="P114" s="101">
        <v>0</v>
      </c>
      <c r="Q114" s="101"/>
      <c r="R114" s="102" t="e">
        <v>#DIV/0!</v>
      </c>
      <c r="S114" s="103" t="e">
        <v>#DIV/0!</v>
      </c>
      <c r="T114" s="103" t="e">
        <v>#DIV/0!</v>
      </c>
      <c r="U114" s="102" t="e">
        <v>#DIV/0!</v>
      </c>
      <c r="V114" s="102" t="e">
        <v>#DIV/0!</v>
      </c>
      <c r="W114" s="103" t="e">
        <v>#DIV/0!</v>
      </c>
    </row>
    <row r="115" customFormat="1" ht="22.5" customHeight="1" spans="1:23">
      <c r="A115" s="97" t="s">
        <v>186</v>
      </c>
      <c r="B115" s="98" t="s">
        <v>209</v>
      </c>
      <c r="C115" s="98" t="s">
        <v>210</v>
      </c>
      <c r="D115" s="98" t="s">
        <v>211</v>
      </c>
      <c r="E115" s="98" t="s">
        <v>31</v>
      </c>
      <c r="F115" s="99">
        <v>46137</v>
      </c>
      <c r="G115" s="100">
        <v>46135</v>
      </c>
      <c r="H115" s="100" t="s">
        <v>120</v>
      </c>
      <c r="I115" s="100" t="s">
        <v>51</v>
      </c>
      <c r="J115" s="100" t="s">
        <v>199</v>
      </c>
      <c r="K115" s="100" t="s">
        <v>34</v>
      </c>
      <c r="L115" s="98">
        <v>0</v>
      </c>
      <c r="M115" s="98">
        <v>0</v>
      </c>
      <c r="N115" s="98">
        <v>0</v>
      </c>
      <c r="O115" s="101">
        <v>0</v>
      </c>
      <c r="P115" s="101">
        <v>0</v>
      </c>
      <c r="Q115" s="101"/>
      <c r="R115" s="102" t="e">
        <v>#DIV/0!</v>
      </c>
      <c r="S115" s="103" t="e">
        <v>#DIV/0!</v>
      </c>
      <c r="T115" s="103" t="e">
        <v>#DIV/0!</v>
      </c>
      <c r="U115" s="102" t="e">
        <v>#DIV/0!</v>
      </c>
      <c r="V115" s="102" t="e">
        <v>#DIV/0!</v>
      </c>
      <c r="W115" s="103" t="e">
        <v>#DIV/0!</v>
      </c>
    </row>
    <row r="116" customFormat="1" ht="22.5" customHeight="1" spans="1:23">
      <c r="A116" s="97" t="s">
        <v>186</v>
      </c>
      <c r="B116" s="98" t="s">
        <v>212</v>
      </c>
      <c r="C116" s="98" t="s">
        <v>213</v>
      </c>
      <c r="D116" s="98" t="s">
        <v>214</v>
      </c>
      <c r="E116" s="98" t="s">
        <v>31</v>
      </c>
      <c r="F116" s="99">
        <v>46137</v>
      </c>
      <c r="G116" s="100">
        <v>46135</v>
      </c>
      <c r="H116" s="100" t="s">
        <v>120</v>
      </c>
      <c r="I116" s="100" t="s">
        <v>51</v>
      </c>
      <c r="J116" s="100" t="s">
        <v>199</v>
      </c>
      <c r="K116" s="100" t="s">
        <v>34</v>
      </c>
      <c r="L116" s="98">
        <v>0</v>
      </c>
      <c r="M116" s="98">
        <v>0</v>
      </c>
      <c r="N116" s="98">
        <v>0</v>
      </c>
      <c r="O116" s="101">
        <v>0</v>
      </c>
      <c r="P116" s="101">
        <v>0</v>
      </c>
      <c r="Q116" s="101"/>
      <c r="R116" s="102" t="e">
        <v>#DIV/0!</v>
      </c>
      <c r="S116" s="103" t="e">
        <v>#DIV/0!</v>
      </c>
      <c r="T116" s="103" t="e">
        <v>#DIV/0!</v>
      </c>
      <c r="U116" s="102" t="e">
        <v>#DIV/0!</v>
      </c>
      <c r="V116" s="102" t="e">
        <v>#DIV/0!</v>
      </c>
      <c r="W116" s="103" t="e">
        <v>#DIV/0!</v>
      </c>
    </row>
    <row r="117" customFormat="1" ht="22.5" customHeight="1" spans="1:23">
      <c r="A117" s="97" t="s">
        <v>186</v>
      </c>
      <c r="B117" s="98" t="s">
        <v>176</v>
      </c>
      <c r="C117" s="98" t="s">
        <v>177</v>
      </c>
      <c r="D117" s="98" t="s">
        <v>178</v>
      </c>
      <c r="E117" s="98" t="s">
        <v>38</v>
      </c>
      <c r="F117" s="99">
        <v>46087</v>
      </c>
      <c r="G117" s="100">
        <v>46085</v>
      </c>
      <c r="H117" s="100">
        <v>46089</v>
      </c>
      <c r="I117" s="100" t="s">
        <v>51</v>
      </c>
      <c r="J117" s="100" t="s">
        <v>44</v>
      </c>
      <c r="K117" s="100" t="s">
        <v>34</v>
      </c>
      <c r="L117" s="98">
        <v>0</v>
      </c>
      <c r="M117" s="98">
        <v>0</v>
      </c>
      <c r="N117" s="98">
        <v>0</v>
      </c>
      <c r="O117" s="101">
        <v>0</v>
      </c>
      <c r="P117" s="101">
        <v>0</v>
      </c>
      <c r="Q117" s="101"/>
      <c r="R117" s="102" t="e">
        <v>#DIV/0!</v>
      </c>
      <c r="S117" s="103" t="e">
        <v>#DIV/0!</v>
      </c>
      <c r="T117" s="103" t="e">
        <v>#DIV/0!</v>
      </c>
      <c r="U117" s="102" t="e">
        <v>#DIV/0!</v>
      </c>
      <c r="V117" s="102" t="e">
        <v>#DIV/0!</v>
      </c>
      <c r="W117" s="103" t="e">
        <v>#DIV/0!</v>
      </c>
    </row>
    <row r="118" customFormat="1" ht="22.5" customHeight="1" spans="1:23">
      <c r="A118" s="97" t="s">
        <v>186</v>
      </c>
      <c r="B118" s="98" t="s">
        <v>176</v>
      </c>
      <c r="C118" s="98" t="s">
        <v>179</v>
      </c>
      <c r="D118" s="98" t="s">
        <v>180</v>
      </c>
      <c r="E118" s="98" t="s">
        <v>38</v>
      </c>
      <c r="F118" s="99">
        <v>46087</v>
      </c>
      <c r="G118" s="100">
        <v>46086</v>
      </c>
      <c r="H118" s="100">
        <v>46089</v>
      </c>
      <c r="I118" s="100" t="s">
        <v>51</v>
      </c>
      <c r="J118" s="100" t="s">
        <v>44</v>
      </c>
      <c r="K118" s="100" t="s">
        <v>34</v>
      </c>
      <c r="L118" s="98">
        <v>0</v>
      </c>
      <c r="M118" s="98">
        <v>0</v>
      </c>
      <c r="N118" s="98">
        <v>0</v>
      </c>
      <c r="O118" s="101">
        <v>0</v>
      </c>
      <c r="P118" s="101">
        <v>0</v>
      </c>
      <c r="Q118" s="101"/>
      <c r="R118" s="102" t="e">
        <v>#DIV/0!</v>
      </c>
      <c r="S118" s="103" t="e">
        <v>#DIV/0!</v>
      </c>
      <c r="T118" s="103" t="e">
        <v>#DIV/0!</v>
      </c>
      <c r="U118" s="102" t="e">
        <v>#DIV/0!</v>
      </c>
      <c r="V118" s="102" t="e">
        <v>#DIV/0!</v>
      </c>
      <c r="W118" s="103" t="e">
        <v>#DIV/0!</v>
      </c>
    </row>
    <row r="119" customFormat="1" ht="22.5" customHeight="1" spans="1:23">
      <c r="A119" s="97" t="s">
        <v>186</v>
      </c>
      <c r="B119" s="98" t="s">
        <v>176</v>
      </c>
      <c r="C119" s="98" t="s">
        <v>181</v>
      </c>
      <c r="D119" s="98" t="s">
        <v>182</v>
      </c>
      <c r="E119" s="98" t="s">
        <v>38</v>
      </c>
      <c r="F119" s="99">
        <v>46087</v>
      </c>
      <c r="G119" s="100">
        <v>46086</v>
      </c>
      <c r="H119" s="100">
        <v>46094</v>
      </c>
      <c r="I119" s="100" t="s">
        <v>51</v>
      </c>
      <c r="J119" s="100" t="s">
        <v>44</v>
      </c>
      <c r="K119" s="100" t="s">
        <v>34</v>
      </c>
      <c r="L119" s="98">
        <v>0</v>
      </c>
      <c r="M119" s="98">
        <v>0</v>
      </c>
      <c r="N119" s="98">
        <v>0</v>
      </c>
      <c r="O119" s="101">
        <v>0</v>
      </c>
      <c r="P119" s="101">
        <v>0</v>
      </c>
      <c r="Q119" s="101"/>
      <c r="R119" s="102" t="e">
        <v>#DIV/0!</v>
      </c>
      <c r="S119" s="103" t="e">
        <v>#DIV/0!</v>
      </c>
      <c r="T119" s="103" t="e">
        <v>#DIV/0!</v>
      </c>
      <c r="U119" s="102" t="e">
        <v>#DIV/0!</v>
      </c>
      <c r="V119" s="102" t="e">
        <v>#DIV/0!</v>
      </c>
      <c r="W119" s="103" t="e">
        <v>#DIV/0!</v>
      </c>
    </row>
    <row r="120" customFormat="1" ht="22.5" customHeight="1" spans="1:23">
      <c r="A120" s="104" t="s">
        <v>215</v>
      </c>
      <c r="B120" s="105" t="s">
        <v>25</v>
      </c>
      <c r="C120" s="105" t="s">
        <v>26</v>
      </c>
      <c r="D120" s="105"/>
      <c r="E120" s="105"/>
      <c r="F120" s="105">
        <v>63</v>
      </c>
      <c r="G120" s="105"/>
      <c r="H120" s="105"/>
      <c r="I120" s="105"/>
      <c r="J120" s="105" t="s">
        <v>27</v>
      </c>
      <c r="K120" s="105"/>
      <c r="L120" s="106">
        <v>139169</v>
      </c>
      <c r="M120" s="106">
        <v>425</v>
      </c>
      <c r="N120" s="106">
        <v>40</v>
      </c>
      <c r="O120" s="107">
        <v>240.26</v>
      </c>
      <c r="P120" s="107">
        <v>3401.59</v>
      </c>
      <c r="Q120" s="107" t="e">
        <v>#N/A</v>
      </c>
      <c r="R120" s="108">
        <v>14.1579538832931</v>
      </c>
      <c r="S120" s="109">
        <v>0.0941176470588235</v>
      </c>
      <c r="T120" s="109">
        <v>0.00305384101344409</v>
      </c>
      <c r="U120" s="108">
        <v>0.565317647058824</v>
      </c>
      <c r="V120" s="108">
        <v>6.0065</v>
      </c>
      <c r="W120" s="96">
        <v>0.0706316751871919</v>
      </c>
    </row>
    <row r="121" customFormat="1" ht="22.5" customHeight="1" spans="1:23">
      <c r="A121" s="97" t="s">
        <v>215</v>
      </c>
      <c r="B121" s="98" t="s">
        <v>128</v>
      </c>
      <c r="C121" s="98" t="s">
        <v>129</v>
      </c>
      <c r="D121" s="98" t="s">
        <v>130</v>
      </c>
      <c r="E121" s="98" t="s">
        <v>63</v>
      </c>
      <c r="F121" s="99">
        <v>46123</v>
      </c>
      <c r="G121" s="100">
        <v>46092</v>
      </c>
      <c r="H121" s="100">
        <v>46096</v>
      </c>
      <c r="I121" s="100" t="s">
        <v>59</v>
      </c>
      <c r="J121" s="100" t="s">
        <v>44</v>
      </c>
      <c r="K121" s="100" t="s">
        <v>34</v>
      </c>
      <c r="L121" s="98">
        <v>196</v>
      </c>
      <c r="M121" s="98">
        <v>8</v>
      </c>
      <c r="N121" s="98">
        <v>1</v>
      </c>
      <c r="O121" s="101">
        <v>6.09</v>
      </c>
      <c r="P121" s="101">
        <v>478</v>
      </c>
      <c r="Q121" s="101" t="e">
        <v>#N/A</v>
      </c>
      <c r="R121" s="102">
        <v>78.4893267651888</v>
      </c>
      <c r="S121" s="103">
        <v>0.125</v>
      </c>
      <c r="T121" s="103">
        <v>0.0408163265306122</v>
      </c>
      <c r="U121" s="102">
        <v>0.76125</v>
      </c>
      <c r="V121" s="102">
        <v>6.09</v>
      </c>
      <c r="W121" s="103">
        <v>0.0127405857740586</v>
      </c>
    </row>
    <row r="122" customFormat="1" ht="22.5" customHeight="1" spans="1:23">
      <c r="A122" s="97" t="s">
        <v>215</v>
      </c>
      <c r="B122" s="98" t="s">
        <v>86</v>
      </c>
      <c r="C122" s="98" t="s">
        <v>36</v>
      </c>
      <c r="D122" s="98" t="s">
        <v>87</v>
      </c>
      <c r="E122" s="98" t="s">
        <v>88</v>
      </c>
      <c r="F122" s="99">
        <v>46122</v>
      </c>
      <c r="G122" s="100">
        <v>46066</v>
      </c>
      <c r="H122" s="100">
        <v>46070</v>
      </c>
      <c r="I122" s="100" t="s">
        <v>32</v>
      </c>
      <c r="J122" s="100" t="s">
        <v>39</v>
      </c>
      <c r="K122" s="100" t="s">
        <v>34</v>
      </c>
      <c r="L122" s="98">
        <v>4575</v>
      </c>
      <c r="M122" s="98">
        <v>13</v>
      </c>
      <c r="N122" s="98">
        <v>7</v>
      </c>
      <c r="O122" s="101">
        <v>5.35</v>
      </c>
      <c r="P122" s="101">
        <v>427.28</v>
      </c>
      <c r="Q122" s="101" t="e">
        <v>#N/A</v>
      </c>
      <c r="R122" s="102">
        <v>79.8654205607477</v>
      </c>
      <c r="S122" s="103">
        <v>0.538461538461538</v>
      </c>
      <c r="T122" s="103">
        <v>0.00284153005464481</v>
      </c>
      <c r="U122" s="102">
        <v>0.411538461538462</v>
      </c>
      <c r="V122" s="102">
        <v>0.764285714285714</v>
      </c>
      <c r="W122" s="103">
        <v>0.0125210634712601</v>
      </c>
    </row>
    <row r="123" customFormat="1" ht="22.5" customHeight="1" spans="1:23">
      <c r="A123" s="97" t="s">
        <v>215</v>
      </c>
      <c r="B123" s="98" t="s">
        <v>200</v>
      </c>
      <c r="C123" s="98" t="s">
        <v>201</v>
      </c>
      <c r="D123" s="98" t="s">
        <v>202</v>
      </c>
      <c r="E123" s="98" t="s">
        <v>31</v>
      </c>
      <c r="F123" s="99">
        <v>46136</v>
      </c>
      <c r="G123" s="100">
        <v>46135</v>
      </c>
      <c r="H123" s="100">
        <v>46135</v>
      </c>
      <c r="I123" s="100" t="s">
        <v>59</v>
      </c>
      <c r="J123" s="100" t="s">
        <v>92</v>
      </c>
      <c r="K123" s="100" t="s">
        <v>34</v>
      </c>
      <c r="L123" s="98">
        <v>24303</v>
      </c>
      <c r="M123" s="98">
        <v>57</v>
      </c>
      <c r="N123" s="98">
        <v>3</v>
      </c>
      <c r="O123" s="101">
        <v>58.38</v>
      </c>
      <c r="P123" s="101">
        <v>400.62</v>
      </c>
      <c r="Q123" s="101" t="e">
        <v>#N/A</v>
      </c>
      <c r="R123" s="102">
        <v>6.8622816032888</v>
      </c>
      <c r="S123" s="103">
        <v>0.0526315789473684</v>
      </c>
      <c r="T123" s="103">
        <v>0.00234538945809159</v>
      </c>
      <c r="U123" s="102">
        <v>1.02421052631579</v>
      </c>
      <c r="V123" s="102">
        <v>19.46</v>
      </c>
      <c r="W123" s="103">
        <v>0.145724127602217</v>
      </c>
    </row>
    <row r="124" customFormat="1" ht="22.5" customHeight="1" spans="1:23">
      <c r="A124" s="97" t="s">
        <v>215</v>
      </c>
      <c r="B124" s="98" t="s">
        <v>101</v>
      </c>
      <c r="C124" s="98" t="s">
        <v>102</v>
      </c>
      <c r="D124" s="98" t="s">
        <v>103</v>
      </c>
      <c r="E124" s="98" t="s">
        <v>63</v>
      </c>
      <c r="F124" s="99">
        <v>46082</v>
      </c>
      <c r="G124" s="100">
        <v>46066</v>
      </c>
      <c r="H124" s="100">
        <v>46070</v>
      </c>
      <c r="I124" s="100" t="s">
        <v>96</v>
      </c>
      <c r="J124" s="100" t="s">
        <v>39</v>
      </c>
      <c r="K124" s="100" t="s">
        <v>45</v>
      </c>
      <c r="L124" s="98">
        <v>5616</v>
      </c>
      <c r="M124" s="98">
        <v>12</v>
      </c>
      <c r="N124" s="98">
        <v>4</v>
      </c>
      <c r="O124" s="101">
        <v>6.45</v>
      </c>
      <c r="P124" s="101">
        <v>361.91</v>
      </c>
      <c r="Q124" s="101" t="e">
        <v>#N/A</v>
      </c>
      <c r="R124" s="102">
        <v>56.1100775193798</v>
      </c>
      <c r="S124" s="103">
        <v>0.333333333333333</v>
      </c>
      <c r="T124" s="103">
        <v>0.00213675213675214</v>
      </c>
      <c r="U124" s="102">
        <v>0.5375</v>
      </c>
      <c r="V124" s="102">
        <v>1.6125</v>
      </c>
      <c r="W124" s="103">
        <v>0.0178221104694537</v>
      </c>
    </row>
    <row r="125" customFormat="1" ht="22.5" customHeight="1" spans="1:23">
      <c r="A125" s="97" t="s">
        <v>215</v>
      </c>
      <c r="B125" s="98" t="s">
        <v>53</v>
      </c>
      <c r="C125" s="98" t="s">
        <v>54</v>
      </c>
      <c r="D125" s="98" t="s">
        <v>55</v>
      </c>
      <c r="E125" s="98" t="s">
        <v>31</v>
      </c>
      <c r="F125" s="99">
        <v>46109</v>
      </c>
      <c r="G125" s="100">
        <v>46108</v>
      </c>
      <c r="H125" s="100">
        <v>46116</v>
      </c>
      <c r="I125" s="100" t="s">
        <v>32</v>
      </c>
      <c r="J125" s="100" t="s">
        <v>39</v>
      </c>
      <c r="K125" s="100" t="s">
        <v>45</v>
      </c>
      <c r="L125" s="98">
        <v>1226</v>
      </c>
      <c r="M125" s="98">
        <v>11</v>
      </c>
      <c r="N125" s="98">
        <v>3</v>
      </c>
      <c r="O125" s="101">
        <v>3.81</v>
      </c>
      <c r="P125" s="101">
        <v>274.58</v>
      </c>
      <c r="Q125" s="101" t="e">
        <v>#N/A</v>
      </c>
      <c r="R125" s="102">
        <v>72.0682414698163</v>
      </c>
      <c r="S125" s="103">
        <v>0.272727272727273</v>
      </c>
      <c r="T125" s="103">
        <v>0.00897226753670473</v>
      </c>
      <c r="U125" s="102">
        <v>0.346363636363636</v>
      </c>
      <c r="V125" s="102">
        <v>1.27</v>
      </c>
      <c r="W125" s="103">
        <v>0.0138757374899847</v>
      </c>
    </row>
    <row r="126" customFormat="1" ht="22.5" customHeight="1" spans="1:23">
      <c r="A126" s="97" t="s">
        <v>215</v>
      </c>
      <c r="B126" s="98" t="s">
        <v>69</v>
      </c>
      <c r="C126" s="98" t="s">
        <v>70</v>
      </c>
      <c r="D126" s="98" t="s">
        <v>71</v>
      </c>
      <c r="E126" s="98" t="s">
        <v>31</v>
      </c>
      <c r="F126" s="99">
        <v>46092</v>
      </c>
      <c r="G126" s="100">
        <v>46092</v>
      </c>
      <c r="H126" s="100">
        <v>46095</v>
      </c>
      <c r="I126" s="100" t="s">
        <v>32</v>
      </c>
      <c r="J126" s="100" t="s">
        <v>39</v>
      </c>
      <c r="K126" s="100" t="s">
        <v>34</v>
      </c>
      <c r="L126" s="98">
        <v>3892</v>
      </c>
      <c r="M126" s="98">
        <v>20</v>
      </c>
      <c r="N126" s="98">
        <v>2</v>
      </c>
      <c r="O126" s="101">
        <v>8</v>
      </c>
      <c r="P126" s="101">
        <v>246.67</v>
      </c>
      <c r="Q126" s="101" t="e">
        <v>#N/A</v>
      </c>
      <c r="R126" s="102">
        <v>30.83375</v>
      </c>
      <c r="S126" s="103">
        <v>0.1</v>
      </c>
      <c r="T126" s="103">
        <v>0.00513874614594039</v>
      </c>
      <c r="U126" s="102">
        <v>0.4</v>
      </c>
      <c r="V126" s="102">
        <v>4</v>
      </c>
      <c r="W126" s="103">
        <v>0.0324319941622411</v>
      </c>
    </row>
    <row r="127" customFormat="1" ht="22.5" customHeight="1" spans="1:23">
      <c r="A127" s="97" t="s">
        <v>215</v>
      </c>
      <c r="B127" s="98" t="s">
        <v>35</v>
      </c>
      <c r="C127" s="98" t="s">
        <v>36</v>
      </c>
      <c r="D127" s="98" t="s">
        <v>37</v>
      </c>
      <c r="E127" s="98" t="s">
        <v>38</v>
      </c>
      <c r="F127" s="99">
        <v>46077</v>
      </c>
      <c r="G127" s="100">
        <v>46066</v>
      </c>
      <c r="H127" s="100">
        <v>46070</v>
      </c>
      <c r="I127" s="100" t="s">
        <v>32</v>
      </c>
      <c r="J127" s="100" t="s">
        <v>39</v>
      </c>
      <c r="K127" s="100" t="s">
        <v>34</v>
      </c>
      <c r="L127" s="98">
        <v>4426</v>
      </c>
      <c r="M127" s="98">
        <v>17</v>
      </c>
      <c r="N127" s="98">
        <v>3</v>
      </c>
      <c r="O127" s="101">
        <v>7.34</v>
      </c>
      <c r="P127" s="101">
        <v>213.01</v>
      </c>
      <c r="Q127" s="101" t="e">
        <v>#N/A</v>
      </c>
      <c r="R127" s="102">
        <v>29.0204359673025</v>
      </c>
      <c r="S127" s="103">
        <v>0.176470588235294</v>
      </c>
      <c r="T127" s="103">
        <v>0.00384093990058744</v>
      </c>
      <c r="U127" s="102">
        <v>0.431764705882353</v>
      </c>
      <c r="V127" s="102">
        <v>2.44666666666667</v>
      </c>
      <c r="W127" s="103">
        <v>0.0344584761278813</v>
      </c>
    </row>
    <row r="128" customFormat="1" ht="22.5" customHeight="1" spans="1:23">
      <c r="A128" s="97" t="s">
        <v>215</v>
      </c>
      <c r="B128" s="98" t="s">
        <v>28</v>
      </c>
      <c r="C128" s="98" t="s">
        <v>29</v>
      </c>
      <c r="D128" s="98" t="s">
        <v>30</v>
      </c>
      <c r="E128" s="98" t="s">
        <v>31</v>
      </c>
      <c r="F128" s="99">
        <v>46114</v>
      </c>
      <c r="G128" s="100">
        <v>46108</v>
      </c>
      <c r="H128" s="100">
        <v>46114</v>
      </c>
      <c r="I128" s="100" t="s">
        <v>32</v>
      </c>
      <c r="J128" s="100" t="s">
        <v>33</v>
      </c>
      <c r="K128" s="100" t="s">
        <v>34</v>
      </c>
      <c r="L128" s="98">
        <v>1178</v>
      </c>
      <c r="M128" s="98">
        <v>32</v>
      </c>
      <c r="N128" s="98">
        <v>4</v>
      </c>
      <c r="O128" s="101">
        <v>11.79</v>
      </c>
      <c r="P128" s="101">
        <v>151.71</v>
      </c>
      <c r="Q128" s="101" t="e">
        <v>#N/A</v>
      </c>
      <c r="R128" s="102">
        <v>12.8676844783715</v>
      </c>
      <c r="S128" s="103">
        <v>0.125</v>
      </c>
      <c r="T128" s="103">
        <v>0.0271646859083192</v>
      </c>
      <c r="U128" s="102">
        <v>0.3684375</v>
      </c>
      <c r="V128" s="102">
        <v>2.9475</v>
      </c>
      <c r="W128" s="103">
        <v>0.0777140597192011</v>
      </c>
    </row>
    <row r="129" customFormat="1" ht="22.5" customHeight="1" spans="1:23">
      <c r="A129" s="97" t="s">
        <v>215</v>
      </c>
      <c r="B129" s="98" t="s">
        <v>106</v>
      </c>
      <c r="C129" s="98" t="s">
        <v>107</v>
      </c>
      <c r="D129" s="98" t="s">
        <v>108</v>
      </c>
      <c r="E129" s="98" t="s">
        <v>31</v>
      </c>
      <c r="F129" s="99">
        <v>46094</v>
      </c>
      <c r="G129" s="100">
        <v>46093</v>
      </c>
      <c r="H129" s="100">
        <v>46100</v>
      </c>
      <c r="I129" s="100" t="s">
        <v>32</v>
      </c>
      <c r="J129" s="100" t="s">
        <v>33</v>
      </c>
      <c r="K129" s="100" t="s">
        <v>34</v>
      </c>
      <c r="L129" s="98">
        <v>42</v>
      </c>
      <c r="M129" s="98">
        <v>4</v>
      </c>
      <c r="N129" s="98">
        <v>1</v>
      </c>
      <c r="O129" s="101">
        <v>1.65</v>
      </c>
      <c r="P129" s="101">
        <v>147.34</v>
      </c>
      <c r="Q129" s="101" t="e">
        <v>#N/A</v>
      </c>
      <c r="R129" s="102">
        <v>89.2969696969697</v>
      </c>
      <c r="S129" s="103">
        <v>0.25</v>
      </c>
      <c r="T129" s="103">
        <v>0.0952380952380952</v>
      </c>
      <c r="U129" s="102">
        <v>0.4125</v>
      </c>
      <c r="V129" s="102">
        <v>1.65</v>
      </c>
      <c r="W129" s="103">
        <v>0.011198588299172</v>
      </c>
    </row>
    <row r="130" customFormat="1" ht="22.5" customHeight="1" spans="1:23">
      <c r="A130" s="97" t="s">
        <v>215</v>
      </c>
      <c r="B130" s="98" t="s">
        <v>192</v>
      </c>
      <c r="C130" s="98" t="s">
        <v>41</v>
      </c>
      <c r="D130" s="98" t="s">
        <v>193</v>
      </c>
      <c r="E130" s="98" t="s">
        <v>31</v>
      </c>
      <c r="F130" s="99">
        <v>46134</v>
      </c>
      <c r="G130" s="100">
        <v>46062</v>
      </c>
      <c r="H130" s="100">
        <v>46068</v>
      </c>
      <c r="I130" s="100" t="s">
        <v>32</v>
      </c>
      <c r="J130" s="100" t="s">
        <v>44</v>
      </c>
      <c r="K130" s="100" t="s">
        <v>45</v>
      </c>
      <c r="L130" s="98">
        <v>2979</v>
      </c>
      <c r="M130" s="98">
        <v>12</v>
      </c>
      <c r="N130" s="98">
        <v>2</v>
      </c>
      <c r="O130" s="101">
        <v>4.31</v>
      </c>
      <c r="P130" s="101">
        <v>104.14</v>
      </c>
      <c r="Q130" s="101" t="e">
        <v>#N/A</v>
      </c>
      <c r="R130" s="102">
        <v>24.1624129930394</v>
      </c>
      <c r="S130" s="103">
        <v>0.166666666666667</v>
      </c>
      <c r="T130" s="103">
        <v>0.0040281973816717</v>
      </c>
      <c r="U130" s="102">
        <v>0.359166666666667</v>
      </c>
      <c r="V130" s="102">
        <v>2.155</v>
      </c>
      <c r="W130" s="103">
        <v>0.0413865949683119</v>
      </c>
    </row>
    <row r="131" customFormat="1" ht="22.5" customHeight="1" spans="1:23">
      <c r="A131" s="97" t="s">
        <v>215</v>
      </c>
      <c r="B131" s="98" t="s">
        <v>72</v>
      </c>
      <c r="C131" s="98" t="s">
        <v>49</v>
      </c>
      <c r="D131" s="98" t="s">
        <v>73</v>
      </c>
      <c r="E131" s="98" t="s">
        <v>63</v>
      </c>
      <c r="F131" s="99">
        <v>46095</v>
      </c>
      <c r="G131" s="100">
        <v>46085</v>
      </c>
      <c r="H131" s="100">
        <v>46086</v>
      </c>
      <c r="I131" s="100" t="s">
        <v>51</v>
      </c>
      <c r="J131" s="100" t="s">
        <v>52</v>
      </c>
      <c r="K131" s="100" t="s">
        <v>34</v>
      </c>
      <c r="L131" s="98">
        <v>1423</v>
      </c>
      <c r="M131" s="98">
        <v>15</v>
      </c>
      <c r="N131" s="98">
        <v>1</v>
      </c>
      <c r="O131" s="101">
        <v>7.85</v>
      </c>
      <c r="P131" s="101">
        <v>92.97</v>
      </c>
      <c r="Q131" s="101" t="e">
        <v>#N/A</v>
      </c>
      <c r="R131" s="102">
        <v>11.8433121019108</v>
      </c>
      <c r="S131" s="103">
        <v>0.0666666666666667</v>
      </c>
      <c r="T131" s="103">
        <v>0.0105411103302881</v>
      </c>
      <c r="U131" s="102">
        <v>0.523333333333333</v>
      </c>
      <c r="V131" s="102">
        <v>7.85</v>
      </c>
      <c r="W131" s="103">
        <v>0.0844358395181241</v>
      </c>
    </row>
    <row r="132" customFormat="1" ht="22.5" customHeight="1" spans="1:23">
      <c r="A132" s="97" t="s">
        <v>215</v>
      </c>
      <c r="B132" s="98" t="s">
        <v>101</v>
      </c>
      <c r="C132" s="98" t="s">
        <v>153</v>
      </c>
      <c r="D132" s="98" t="s">
        <v>154</v>
      </c>
      <c r="E132" s="98" t="s">
        <v>63</v>
      </c>
      <c r="F132" s="99">
        <v>46082</v>
      </c>
      <c r="G132" s="100">
        <v>46066</v>
      </c>
      <c r="H132" s="100">
        <v>46084</v>
      </c>
      <c r="I132" s="100" t="s">
        <v>96</v>
      </c>
      <c r="J132" s="100" t="s">
        <v>39</v>
      </c>
      <c r="K132" s="100" t="s">
        <v>34</v>
      </c>
      <c r="L132" s="98">
        <v>3655</v>
      </c>
      <c r="M132" s="98">
        <v>14</v>
      </c>
      <c r="N132" s="98">
        <v>1</v>
      </c>
      <c r="O132" s="101">
        <v>6.23</v>
      </c>
      <c r="P132" s="101">
        <v>88.57</v>
      </c>
      <c r="Q132" s="101" t="e">
        <v>#N/A</v>
      </c>
      <c r="R132" s="102">
        <v>14.2166934189406</v>
      </c>
      <c r="S132" s="103">
        <v>0.0714285714285714</v>
      </c>
      <c r="T132" s="103">
        <v>0.00383036935704514</v>
      </c>
      <c r="U132" s="102">
        <v>0.445</v>
      </c>
      <c r="V132" s="102">
        <v>6.23</v>
      </c>
      <c r="W132" s="103">
        <v>0.0703398441910354</v>
      </c>
    </row>
    <row r="133" customFormat="1" ht="22.5" customHeight="1" spans="1:23">
      <c r="A133" s="97" t="s">
        <v>215</v>
      </c>
      <c r="B133" s="98" t="s">
        <v>101</v>
      </c>
      <c r="C133" s="98" t="s">
        <v>124</v>
      </c>
      <c r="D133" s="98" t="s">
        <v>125</v>
      </c>
      <c r="E133" s="98" t="s">
        <v>63</v>
      </c>
      <c r="F133" s="99">
        <v>46082</v>
      </c>
      <c r="G133" s="100">
        <v>46066</v>
      </c>
      <c r="H133" s="100">
        <v>46068</v>
      </c>
      <c r="I133" s="100" t="s">
        <v>96</v>
      </c>
      <c r="J133" s="100" t="s">
        <v>39</v>
      </c>
      <c r="K133" s="100" t="s">
        <v>45</v>
      </c>
      <c r="L133" s="98">
        <v>6136</v>
      </c>
      <c r="M133" s="98">
        <v>27</v>
      </c>
      <c r="N133" s="98">
        <v>1</v>
      </c>
      <c r="O133" s="101">
        <v>13.07</v>
      </c>
      <c r="P133" s="101">
        <v>80.69</v>
      </c>
      <c r="Q133" s="101" t="e">
        <v>#N/A</v>
      </c>
      <c r="R133" s="102">
        <v>6.17368018362663</v>
      </c>
      <c r="S133" s="103">
        <v>0.037037037037037</v>
      </c>
      <c r="T133" s="103">
        <v>0.00440026075619296</v>
      </c>
      <c r="U133" s="102">
        <v>0.484074074074074</v>
      </c>
      <c r="V133" s="102">
        <v>13.07</v>
      </c>
      <c r="W133" s="103">
        <v>0.161977940265213</v>
      </c>
    </row>
    <row r="134" customFormat="1" ht="22.5" customHeight="1" spans="1:23">
      <c r="A134" s="97" t="s">
        <v>215</v>
      </c>
      <c r="B134" s="98" t="s">
        <v>35</v>
      </c>
      <c r="C134" s="98" t="s">
        <v>46</v>
      </c>
      <c r="D134" s="98" t="s">
        <v>47</v>
      </c>
      <c r="E134" s="98" t="s">
        <v>38</v>
      </c>
      <c r="F134" s="99">
        <v>46077</v>
      </c>
      <c r="G134" s="100">
        <v>46066</v>
      </c>
      <c r="H134" s="100">
        <v>46077</v>
      </c>
      <c r="I134" s="100" t="s">
        <v>32</v>
      </c>
      <c r="J134" s="100" t="s">
        <v>39</v>
      </c>
      <c r="K134" s="100" t="s">
        <v>34</v>
      </c>
      <c r="L134" s="98">
        <v>4805</v>
      </c>
      <c r="M134" s="98">
        <v>7</v>
      </c>
      <c r="N134" s="98">
        <v>1</v>
      </c>
      <c r="O134" s="101">
        <v>3.16</v>
      </c>
      <c r="P134" s="101">
        <v>71.55</v>
      </c>
      <c r="Q134" s="101" t="e">
        <v>#N/A</v>
      </c>
      <c r="R134" s="102">
        <v>22.6424050632911</v>
      </c>
      <c r="S134" s="103">
        <v>0.142857142857143</v>
      </c>
      <c r="T134" s="103">
        <v>0.00145681581685744</v>
      </c>
      <c r="U134" s="102">
        <v>0.451428571428571</v>
      </c>
      <c r="V134" s="102">
        <v>3.16</v>
      </c>
      <c r="W134" s="103">
        <v>0.0441649196366178</v>
      </c>
    </row>
    <row r="135" customFormat="1" ht="22.5" customHeight="1" spans="1:23">
      <c r="A135" s="97" t="s">
        <v>215</v>
      </c>
      <c r="B135" s="98" t="s">
        <v>141</v>
      </c>
      <c r="C135" s="98" t="s">
        <v>144</v>
      </c>
      <c r="D135" s="98" t="s">
        <v>145</v>
      </c>
      <c r="E135" s="98" t="s">
        <v>63</v>
      </c>
      <c r="F135" s="99">
        <v>46121</v>
      </c>
      <c r="G135" s="100">
        <v>46081</v>
      </c>
      <c r="H135" s="100">
        <v>46082</v>
      </c>
      <c r="I135" s="100" t="s">
        <v>68</v>
      </c>
      <c r="J135" s="100" t="s">
        <v>39</v>
      </c>
      <c r="K135" s="100" t="s">
        <v>34</v>
      </c>
      <c r="L135" s="98">
        <v>1654</v>
      </c>
      <c r="M135" s="98">
        <v>10</v>
      </c>
      <c r="N135" s="98">
        <v>1</v>
      </c>
      <c r="O135" s="101">
        <v>3.01</v>
      </c>
      <c r="P135" s="101">
        <v>67.64</v>
      </c>
      <c r="Q135" s="101" t="e">
        <v>#N/A</v>
      </c>
      <c r="R135" s="102">
        <v>22.4717607973422</v>
      </c>
      <c r="S135" s="103">
        <v>0.1</v>
      </c>
      <c r="T135" s="103">
        <v>0.0060459492140266</v>
      </c>
      <c r="U135" s="102">
        <v>0.301</v>
      </c>
      <c r="V135" s="102">
        <v>3.01</v>
      </c>
      <c r="W135" s="103">
        <v>0.0445002956830278</v>
      </c>
    </row>
    <row r="136" customFormat="1" ht="22.5" customHeight="1" spans="1:23">
      <c r="A136" s="97" t="s">
        <v>215</v>
      </c>
      <c r="B136" s="98" t="s">
        <v>112</v>
      </c>
      <c r="C136" s="98" t="s">
        <v>113</v>
      </c>
      <c r="D136" s="98" t="s">
        <v>114</v>
      </c>
      <c r="E136" s="98" t="s">
        <v>80</v>
      </c>
      <c r="F136" s="99">
        <v>46087</v>
      </c>
      <c r="G136" s="100">
        <v>46081</v>
      </c>
      <c r="H136" s="100">
        <v>46101</v>
      </c>
      <c r="I136" s="100" t="s">
        <v>64</v>
      </c>
      <c r="J136" s="100" t="s">
        <v>52</v>
      </c>
      <c r="K136" s="100" t="s">
        <v>34</v>
      </c>
      <c r="L136" s="98">
        <v>641</v>
      </c>
      <c r="M136" s="98">
        <v>7</v>
      </c>
      <c r="N136" s="98">
        <v>1</v>
      </c>
      <c r="O136" s="101">
        <v>2.58</v>
      </c>
      <c r="P136" s="101">
        <v>63.19</v>
      </c>
      <c r="Q136" s="101" t="e">
        <v>#N/A</v>
      </c>
      <c r="R136" s="102">
        <v>24.4922480620155</v>
      </c>
      <c r="S136" s="103">
        <v>0.142857142857143</v>
      </c>
      <c r="T136" s="103">
        <v>0.0109204368174727</v>
      </c>
      <c r="U136" s="102">
        <v>0.368571428571429</v>
      </c>
      <c r="V136" s="102">
        <v>2.58</v>
      </c>
      <c r="W136" s="103">
        <v>0.0408292451337237</v>
      </c>
    </row>
    <row r="137" customFormat="1" ht="22.5" customHeight="1" spans="1:23">
      <c r="A137" s="97" t="s">
        <v>215</v>
      </c>
      <c r="B137" s="98" t="s">
        <v>196</v>
      </c>
      <c r="C137" s="98" t="s">
        <v>197</v>
      </c>
      <c r="D137" s="98" t="s">
        <v>198</v>
      </c>
      <c r="E137" s="98" t="s">
        <v>31</v>
      </c>
      <c r="F137" s="99">
        <v>46136</v>
      </c>
      <c r="G137" s="100">
        <v>46135</v>
      </c>
      <c r="H137" s="100">
        <v>46139</v>
      </c>
      <c r="I137" s="100" t="s">
        <v>32</v>
      </c>
      <c r="J137" s="100" t="s">
        <v>216</v>
      </c>
      <c r="K137" s="100" t="s">
        <v>34</v>
      </c>
      <c r="L137" s="98">
        <v>325</v>
      </c>
      <c r="M137" s="98">
        <v>4</v>
      </c>
      <c r="N137" s="98">
        <v>1</v>
      </c>
      <c r="O137" s="101">
        <v>1.88</v>
      </c>
      <c r="P137" s="101">
        <v>48.15</v>
      </c>
      <c r="Q137" s="101" t="e">
        <v>#N/A</v>
      </c>
      <c r="R137" s="102">
        <v>25.6117021276596</v>
      </c>
      <c r="S137" s="103">
        <v>0.25</v>
      </c>
      <c r="T137" s="103">
        <v>0.0123076923076923</v>
      </c>
      <c r="U137" s="102">
        <v>0.47</v>
      </c>
      <c r="V137" s="102">
        <v>1.88</v>
      </c>
      <c r="W137" s="103">
        <v>0.0390446521287643</v>
      </c>
    </row>
    <row r="138" customFormat="1" ht="22.5" customHeight="1" spans="1:23">
      <c r="A138" s="97" t="s">
        <v>215</v>
      </c>
      <c r="B138" s="98" t="s">
        <v>138</v>
      </c>
      <c r="C138" s="98" t="s">
        <v>136</v>
      </c>
      <c r="D138" s="98" t="s">
        <v>156</v>
      </c>
      <c r="E138" s="98" t="s">
        <v>31</v>
      </c>
      <c r="F138" s="99">
        <v>46092</v>
      </c>
      <c r="G138" s="100">
        <v>46091</v>
      </c>
      <c r="H138" s="100">
        <v>46106</v>
      </c>
      <c r="I138" s="100" t="s">
        <v>32</v>
      </c>
      <c r="J138" s="100" t="s">
        <v>39</v>
      </c>
      <c r="K138" s="100" t="s">
        <v>34</v>
      </c>
      <c r="L138" s="98">
        <v>788</v>
      </c>
      <c r="M138" s="98">
        <v>7</v>
      </c>
      <c r="N138" s="98">
        <v>1</v>
      </c>
      <c r="O138" s="101">
        <v>2.22</v>
      </c>
      <c r="P138" s="101">
        <v>41.37</v>
      </c>
      <c r="Q138" s="101" t="e">
        <v>#N/A</v>
      </c>
      <c r="R138" s="102">
        <v>18.6351351351351</v>
      </c>
      <c r="S138" s="103">
        <v>0.142857142857143</v>
      </c>
      <c r="T138" s="103">
        <v>0.00888324873096447</v>
      </c>
      <c r="U138" s="102">
        <v>0.317142857142857</v>
      </c>
      <c r="V138" s="102">
        <v>2.22</v>
      </c>
      <c r="W138" s="103">
        <v>0.0536620739666425</v>
      </c>
    </row>
    <row r="139" customFormat="1" ht="22.5" customHeight="1" spans="1:23">
      <c r="A139" s="97" t="s">
        <v>215</v>
      </c>
      <c r="B139" s="98" t="s">
        <v>148</v>
      </c>
      <c r="C139" s="98" t="s">
        <v>149</v>
      </c>
      <c r="D139" s="98" t="s">
        <v>150</v>
      </c>
      <c r="E139" s="98" t="s">
        <v>80</v>
      </c>
      <c r="F139" s="99">
        <v>46097</v>
      </c>
      <c r="G139" s="100">
        <v>46085</v>
      </c>
      <c r="H139" s="100">
        <v>46100</v>
      </c>
      <c r="I139" s="100" t="s">
        <v>32</v>
      </c>
      <c r="J139" s="100" t="s">
        <v>44</v>
      </c>
      <c r="K139" s="100" t="s">
        <v>34</v>
      </c>
      <c r="L139" s="98">
        <v>332</v>
      </c>
      <c r="M139" s="98">
        <v>8</v>
      </c>
      <c r="N139" s="98">
        <v>1</v>
      </c>
      <c r="O139" s="101">
        <v>3.54</v>
      </c>
      <c r="P139" s="101">
        <v>29.88</v>
      </c>
      <c r="Q139" s="101" t="e">
        <v>#N/A</v>
      </c>
      <c r="R139" s="102">
        <v>8.44067796610169</v>
      </c>
      <c r="S139" s="103">
        <v>0.125</v>
      </c>
      <c r="T139" s="103">
        <v>0.0240963855421687</v>
      </c>
      <c r="U139" s="102">
        <v>0.4425</v>
      </c>
      <c r="V139" s="102">
        <v>3.54</v>
      </c>
      <c r="W139" s="103">
        <v>0.118473895582329</v>
      </c>
    </row>
    <row r="140" customFormat="1" ht="22.5" customHeight="1" spans="1:23">
      <c r="A140" s="97" t="s">
        <v>215</v>
      </c>
      <c r="B140" s="98" t="s">
        <v>83</v>
      </c>
      <c r="C140" s="98" t="s">
        <v>84</v>
      </c>
      <c r="D140" s="98" t="s">
        <v>85</v>
      </c>
      <c r="E140" s="98" t="s">
        <v>63</v>
      </c>
      <c r="F140" s="99">
        <v>46104</v>
      </c>
      <c r="G140" s="100">
        <v>46092</v>
      </c>
      <c r="H140" s="100">
        <v>46104</v>
      </c>
      <c r="I140" s="100" t="s">
        <v>32</v>
      </c>
      <c r="J140" s="100" t="s">
        <v>39</v>
      </c>
      <c r="K140" s="100" t="s">
        <v>34</v>
      </c>
      <c r="L140" s="98">
        <v>801</v>
      </c>
      <c r="M140" s="98">
        <v>7</v>
      </c>
      <c r="N140" s="98">
        <v>1</v>
      </c>
      <c r="O140" s="101">
        <v>2.05</v>
      </c>
      <c r="P140" s="101">
        <v>12.32</v>
      </c>
      <c r="Q140" s="101" t="e">
        <v>#N/A</v>
      </c>
      <c r="R140" s="102">
        <v>6.00975609756098</v>
      </c>
      <c r="S140" s="103">
        <v>0.142857142857143</v>
      </c>
      <c r="T140" s="103">
        <v>0.00873907615480649</v>
      </c>
      <c r="U140" s="102">
        <v>0.292857142857143</v>
      </c>
      <c r="V140" s="102">
        <v>2.05</v>
      </c>
      <c r="W140" s="103">
        <v>0.166396103896104</v>
      </c>
    </row>
    <row r="141" customFormat="1" ht="22.5" customHeight="1" spans="1:23">
      <c r="A141" s="97" t="s">
        <v>215</v>
      </c>
      <c r="B141" s="98" t="s">
        <v>40</v>
      </c>
      <c r="C141" s="98" t="s">
        <v>41</v>
      </c>
      <c r="D141" s="98" t="s">
        <v>42</v>
      </c>
      <c r="E141" s="98" t="s">
        <v>217</v>
      </c>
      <c r="F141" s="99">
        <v>46083</v>
      </c>
      <c r="G141" s="100">
        <v>46062</v>
      </c>
      <c r="H141" s="100">
        <v>46068</v>
      </c>
      <c r="I141" s="100" t="s">
        <v>32</v>
      </c>
      <c r="J141" s="100" t="s">
        <v>44</v>
      </c>
      <c r="K141" s="100" t="s">
        <v>45</v>
      </c>
      <c r="L141" s="98">
        <v>2147</v>
      </c>
      <c r="M141" s="98">
        <v>7</v>
      </c>
      <c r="N141" s="98">
        <v>0</v>
      </c>
      <c r="O141" s="101">
        <v>2.21</v>
      </c>
      <c r="P141" s="101">
        <v>0</v>
      </c>
      <c r="Q141" s="101" t="e">
        <v>#N/A</v>
      </c>
      <c r="R141" s="102">
        <v>0</v>
      </c>
      <c r="S141" s="103">
        <v>0</v>
      </c>
      <c r="T141" s="103">
        <v>0.00326036329762459</v>
      </c>
      <c r="U141" s="102">
        <v>0.315714285714286</v>
      </c>
      <c r="V141" s="102" t="e">
        <v>#DIV/0!</v>
      </c>
      <c r="W141" s="103" t="e">
        <v>#DIV/0!</v>
      </c>
    </row>
    <row r="142" customFormat="1" ht="22.5" customHeight="1" spans="1:23">
      <c r="A142" s="97" t="s">
        <v>215</v>
      </c>
      <c r="B142" s="98" t="s">
        <v>98</v>
      </c>
      <c r="C142" s="98" t="s">
        <v>99</v>
      </c>
      <c r="D142" s="98" t="s">
        <v>100</v>
      </c>
      <c r="E142" s="98" t="s">
        <v>63</v>
      </c>
      <c r="F142" s="99">
        <v>46082</v>
      </c>
      <c r="G142" s="100">
        <v>46066</v>
      </c>
      <c r="H142" s="100">
        <v>46069</v>
      </c>
      <c r="I142" s="100" t="s">
        <v>59</v>
      </c>
      <c r="J142" s="100" t="s">
        <v>52</v>
      </c>
      <c r="K142" s="100" t="s">
        <v>34</v>
      </c>
      <c r="L142" s="98">
        <v>665</v>
      </c>
      <c r="M142" s="98">
        <v>14</v>
      </c>
      <c r="N142" s="98">
        <v>0</v>
      </c>
      <c r="O142" s="101">
        <v>5.35</v>
      </c>
      <c r="P142" s="101">
        <v>0</v>
      </c>
      <c r="Q142" s="101" t="e">
        <v>#N/A</v>
      </c>
      <c r="R142" s="102">
        <v>0</v>
      </c>
      <c r="S142" s="103">
        <v>0</v>
      </c>
      <c r="T142" s="103">
        <v>0.0210526315789474</v>
      </c>
      <c r="U142" s="102">
        <v>0.382142857142857</v>
      </c>
      <c r="V142" s="102" t="e">
        <v>#DIV/0!</v>
      </c>
      <c r="W142" s="103" t="e">
        <v>#DIV/0!</v>
      </c>
    </row>
    <row r="143" customFormat="1" ht="22.5" customHeight="1" spans="1:23">
      <c r="A143" s="97" t="s">
        <v>215</v>
      </c>
      <c r="B143" s="98" t="s">
        <v>135</v>
      </c>
      <c r="C143" s="98" t="s">
        <v>139</v>
      </c>
      <c r="D143" s="98" t="s">
        <v>155</v>
      </c>
      <c r="E143" s="98" t="s">
        <v>63</v>
      </c>
      <c r="F143" s="99">
        <v>46099</v>
      </c>
      <c r="G143" s="100">
        <v>46091</v>
      </c>
      <c r="H143" s="100">
        <v>46101</v>
      </c>
      <c r="I143" s="100" t="s">
        <v>32</v>
      </c>
      <c r="J143" s="100" t="s">
        <v>39</v>
      </c>
      <c r="K143" s="100" t="s">
        <v>34</v>
      </c>
      <c r="L143" s="98">
        <v>635</v>
      </c>
      <c r="M143" s="98">
        <v>5</v>
      </c>
      <c r="N143" s="98">
        <v>0</v>
      </c>
      <c r="O143" s="101">
        <v>1.86</v>
      </c>
      <c r="P143" s="101">
        <v>0</v>
      </c>
      <c r="Q143" s="101" t="e">
        <v>#N/A</v>
      </c>
      <c r="R143" s="102">
        <v>0</v>
      </c>
      <c r="S143" s="103">
        <v>0</v>
      </c>
      <c r="T143" s="103">
        <v>0.0078740157480315</v>
      </c>
      <c r="U143" s="102">
        <v>0.372</v>
      </c>
      <c r="V143" s="102" t="e">
        <v>#DIV/0!</v>
      </c>
      <c r="W143" s="103" t="e">
        <v>#DIV/0!</v>
      </c>
    </row>
    <row r="144" customFormat="1" ht="22.5" customHeight="1" spans="1:23">
      <c r="A144" s="97" t="s">
        <v>215</v>
      </c>
      <c r="B144" s="98" t="s">
        <v>135</v>
      </c>
      <c r="C144" s="98" t="s">
        <v>136</v>
      </c>
      <c r="D144" s="98" t="s">
        <v>137</v>
      </c>
      <c r="E144" s="98" t="s">
        <v>63</v>
      </c>
      <c r="F144" s="99">
        <v>46099</v>
      </c>
      <c r="G144" s="100">
        <v>46091</v>
      </c>
      <c r="H144" s="100">
        <v>46106</v>
      </c>
      <c r="I144" s="100" t="s">
        <v>32</v>
      </c>
      <c r="J144" s="100" t="s">
        <v>39</v>
      </c>
      <c r="K144" s="100" t="s">
        <v>34</v>
      </c>
      <c r="L144" s="98">
        <v>1056</v>
      </c>
      <c r="M144" s="98">
        <v>8</v>
      </c>
      <c r="N144" s="98">
        <v>0</v>
      </c>
      <c r="O144" s="101">
        <v>2.73</v>
      </c>
      <c r="P144" s="101">
        <v>0</v>
      </c>
      <c r="Q144" s="101" t="e">
        <v>#N/A</v>
      </c>
      <c r="R144" s="102">
        <v>0</v>
      </c>
      <c r="S144" s="103">
        <v>0</v>
      </c>
      <c r="T144" s="103">
        <v>0.00757575757575758</v>
      </c>
      <c r="U144" s="102">
        <v>0.34125</v>
      </c>
      <c r="V144" s="102" t="e">
        <v>#DIV/0!</v>
      </c>
      <c r="W144" s="103" t="e">
        <v>#DIV/0!</v>
      </c>
    </row>
    <row r="145" customFormat="1" ht="22.5" customHeight="1" spans="1:23">
      <c r="A145" s="97" t="s">
        <v>215</v>
      </c>
      <c r="B145" s="98" t="s">
        <v>89</v>
      </c>
      <c r="C145" s="98" t="s">
        <v>90</v>
      </c>
      <c r="D145" s="98" t="s">
        <v>91</v>
      </c>
      <c r="E145" s="98" t="s">
        <v>63</v>
      </c>
      <c r="F145" s="99">
        <v>46105</v>
      </c>
      <c r="G145" s="100">
        <v>46062</v>
      </c>
      <c r="H145" s="100">
        <v>46117</v>
      </c>
      <c r="I145" s="100" t="s">
        <v>51</v>
      </c>
      <c r="J145" s="100" t="s">
        <v>92</v>
      </c>
      <c r="K145" s="100" t="s">
        <v>34</v>
      </c>
      <c r="L145" s="98">
        <v>268</v>
      </c>
      <c r="M145" s="98">
        <v>4</v>
      </c>
      <c r="N145" s="98">
        <v>0</v>
      </c>
      <c r="O145" s="101">
        <v>2.36</v>
      </c>
      <c r="P145" s="101">
        <v>0</v>
      </c>
      <c r="Q145" s="101" t="e">
        <v>#N/A</v>
      </c>
      <c r="R145" s="102">
        <v>0</v>
      </c>
      <c r="S145" s="103">
        <v>0</v>
      </c>
      <c r="T145" s="103">
        <v>0.0149253731343284</v>
      </c>
      <c r="U145" s="102">
        <v>0.59</v>
      </c>
      <c r="V145" s="102" t="e">
        <v>#DIV/0!</v>
      </c>
      <c r="W145" s="103" t="e">
        <v>#DIV/0!</v>
      </c>
    </row>
    <row r="146" customFormat="1" ht="22.5" customHeight="1" spans="1:23">
      <c r="A146" s="97" t="s">
        <v>215</v>
      </c>
      <c r="B146" s="98" t="s">
        <v>60</v>
      </c>
      <c r="C146" s="98" t="s">
        <v>61</v>
      </c>
      <c r="D146" s="98" t="s">
        <v>62</v>
      </c>
      <c r="E146" s="98" t="s">
        <v>63</v>
      </c>
      <c r="F146" s="99">
        <v>46115</v>
      </c>
      <c r="G146" s="100">
        <v>46070</v>
      </c>
      <c r="H146" s="100">
        <v>46073</v>
      </c>
      <c r="I146" s="100" t="s">
        <v>64</v>
      </c>
      <c r="J146" s="100" t="s">
        <v>52</v>
      </c>
      <c r="K146" s="100" t="s">
        <v>34</v>
      </c>
      <c r="L146" s="98">
        <v>693</v>
      </c>
      <c r="M146" s="98">
        <v>0</v>
      </c>
      <c r="N146" s="98">
        <v>0</v>
      </c>
      <c r="O146" s="101">
        <v>0</v>
      </c>
      <c r="P146" s="101">
        <v>0</v>
      </c>
      <c r="Q146" s="101" t="e">
        <v>#N/A</v>
      </c>
      <c r="R146" s="102" t="e">
        <v>#DIV/0!</v>
      </c>
      <c r="S146" s="103" t="e">
        <v>#DIV/0!</v>
      </c>
      <c r="T146" s="103">
        <v>0</v>
      </c>
      <c r="U146" s="102" t="e">
        <v>#DIV/0!</v>
      </c>
      <c r="V146" s="102" t="e">
        <v>#DIV/0!</v>
      </c>
      <c r="W146" s="103" t="e">
        <v>#DIV/0!</v>
      </c>
    </row>
    <row r="147" customFormat="1" ht="22.5" customHeight="1" spans="1:23">
      <c r="A147" s="97" t="s">
        <v>215</v>
      </c>
      <c r="B147" s="98" t="s">
        <v>170</v>
      </c>
      <c r="C147" s="98" t="s">
        <v>171</v>
      </c>
      <c r="D147" s="98" t="s">
        <v>172</v>
      </c>
      <c r="E147" s="98" t="s">
        <v>63</v>
      </c>
      <c r="F147" s="99">
        <v>46120</v>
      </c>
      <c r="G147" s="100">
        <v>46105</v>
      </c>
      <c r="H147" s="100">
        <v>46125</v>
      </c>
      <c r="I147" s="100" t="s">
        <v>59</v>
      </c>
      <c r="J147" s="100" t="s">
        <v>92</v>
      </c>
      <c r="K147" s="100" t="s">
        <v>34</v>
      </c>
      <c r="L147" s="98">
        <v>49</v>
      </c>
      <c r="M147" s="98">
        <v>0</v>
      </c>
      <c r="N147" s="98">
        <v>0</v>
      </c>
      <c r="O147" s="101">
        <v>0</v>
      </c>
      <c r="P147" s="101">
        <v>0</v>
      </c>
      <c r="Q147" s="101" t="e">
        <v>#N/A</v>
      </c>
      <c r="R147" s="102" t="e">
        <v>#DIV/0!</v>
      </c>
      <c r="S147" s="103" t="e">
        <v>#DIV/0!</v>
      </c>
      <c r="T147" s="103">
        <v>0</v>
      </c>
      <c r="U147" s="102" t="e">
        <v>#DIV/0!</v>
      </c>
      <c r="V147" s="102" t="e">
        <v>#DIV/0!</v>
      </c>
      <c r="W147" s="103" t="e">
        <v>#DIV/0!</v>
      </c>
    </row>
    <row r="148" customFormat="1" ht="22.5" customHeight="1" spans="1:23">
      <c r="A148" s="97" t="s">
        <v>215</v>
      </c>
      <c r="B148" s="98" t="s">
        <v>141</v>
      </c>
      <c r="C148" s="98" t="s">
        <v>142</v>
      </c>
      <c r="D148" s="98" t="s">
        <v>143</v>
      </c>
      <c r="E148" s="98" t="s">
        <v>63</v>
      </c>
      <c r="F148" s="99">
        <v>46121</v>
      </c>
      <c r="G148" s="100">
        <v>46092</v>
      </c>
      <c r="H148" s="100">
        <v>46096</v>
      </c>
      <c r="I148" s="100" t="s">
        <v>68</v>
      </c>
      <c r="J148" s="100" t="s">
        <v>39</v>
      </c>
      <c r="K148" s="100" t="s">
        <v>45</v>
      </c>
      <c r="L148" s="98">
        <v>886</v>
      </c>
      <c r="M148" s="98">
        <v>1</v>
      </c>
      <c r="N148" s="98">
        <v>0</v>
      </c>
      <c r="O148" s="101">
        <v>0.2</v>
      </c>
      <c r="P148" s="101">
        <v>0</v>
      </c>
      <c r="Q148" s="101" t="e">
        <v>#N/A</v>
      </c>
      <c r="R148" s="102">
        <v>0</v>
      </c>
      <c r="S148" s="103">
        <v>0</v>
      </c>
      <c r="T148" s="103">
        <v>0.00112866817155756</v>
      </c>
      <c r="U148" s="102">
        <v>0.2</v>
      </c>
      <c r="V148" s="102" t="e">
        <v>#DIV/0!</v>
      </c>
      <c r="W148" s="103" t="e">
        <v>#DIV/0!</v>
      </c>
    </row>
    <row r="149" customFormat="1" ht="22.5" customHeight="1" spans="1:23">
      <c r="A149" s="97" t="s">
        <v>215</v>
      </c>
      <c r="B149" s="98" t="s">
        <v>141</v>
      </c>
      <c r="C149" s="98" t="s">
        <v>66</v>
      </c>
      <c r="D149" s="98" t="s">
        <v>160</v>
      </c>
      <c r="E149" s="98" t="s">
        <v>63</v>
      </c>
      <c r="F149" s="99">
        <v>46121</v>
      </c>
      <c r="G149" s="100">
        <v>46092</v>
      </c>
      <c r="H149" s="100">
        <v>46112</v>
      </c>
      <c r="I149" s="100" t="s">
        <v>68</v>
      </c>
      <c r="J149" s="100" t="s">
        <v>39</v>
      </c>
      <c r="K149" s="100" t="s">
        <v>45</v>
      </c>
      <c r="L149" s="98">
        <v>744</v>
      </c>
      <c r="M149" s="98">
        <v>0</v>
      </c>
      <c r="N149" s="98">
        <v>0</v>
      </c>
      <c r="O149" s="101">
        <v>0</v>
      </c>
      <c r="P149" s="101">
        <v>0</v>
      </c>
      <c r="Q149" s="101" t="e">
        <v>#N/A</v>
      </c>
      <c r="R149" s="102" t="e">
        <v>#DIV/0!</v>
      </c>
      <c r="S149" s="103" t="e">
        <v>#DIV/0!</v>
      </c>
      <c r="T149" s="103">
        <v>0</v>
      </c>
      <c r="U149" s="102" t="e">
        <v>#DIV/0!</v>
      </c>
      <c r="V149" s="102" t="e">
        <v>#DIV/0!</v>
      </c>
      <c r="W149" s="103" t="e">
        <v>#DIV/0!</v>
      </c>
    </row>
    <row r="150" customFormat="1" ht="22.5" customHeight="1" spans="1:23">
      <c r="A150" s="97" t="s">
        <v>215</v>
      </c>
      <c r="B150" s="98" t="s">
        <v>187</v>
      </c>
      <c r="C150" s="98" t="s">
        <v>194</v>
      </c>
      <c r="D150" s="98" t="s">
        <v>195</v>
      </c>
      <c r="E150" s="98" t="s">
        <v>63</v>
      </c>
      <c r="F150" s="99">
        <v>46135</v>
      </c>
      <c r="G150" s="100">
        <v>46104</v>
      </c>
      <c r="H150" s="100" t="s">
        <v>120</v>
      </c>
      <c r="I150" s="100" t="s">
        <v>51</v>
      </c>
      <c r="J150" s="100" t="s">
        <v>44</v>
      </c>
      <c r="K150" s="100" t="s">
        <v>34</v>
      </c>
      <c r="L150" s="98">
        <v>29162</v>
      </c>
      <c r="M150" s="98">
        <v>35</v>
      </c>
      <c r="N150" s="98">
        <v>0</v>
      </c>
      <c r="O150" s="101">
        <v>28.88</v>
      </c>
      <c r="P150" s="101">
        <v>0</v>
      </c>
      <c r="Q150" s="101" t="e">
        <v>#N/A</v>
      </c>
      <c r="R150" s="102">
        <v>0</v>
      </c>
      <c r="S150" s="103">
        <v>0</v>
      </c>
      <c r="T150" s="103">
        <v>0.00120019203072492</v>
      </c>
      <c r="U150" s="102">
        <v>0.825142857142857</v>
      </c>
      <c r="V150" s="102" t="e">
        <v>#DIV/0!</v>
      </c>
      <c r="W150" s="103" t="e">
        <v>#DIV/0!</v>
      </c>
    </row>
    <row r="151" customFormat="1" ht="22.5" customHeight="1" spans="1:23">
      <c r="A151" s="97" t="s">
        <v>215</v>
      </c>
      <c r="B151" s="98" t="s">
        <v>187</v>
      </c>
      <c r="C151" s="98" t="s">
        <v>188</v>
      </c>
      <c r="D151" s="98" t="s">
        <v>189</v>
      </c>
      <c r="E151" s="98" t="s">
        <v>63</v>
      </c>
      <c r="F151" s="99">
        <v>46135</v>
      </c>
      <c r="G151" s="100">
        <v>46108</v>
      </c>
      <c r="H151" s="100" t="s">
        <v>120</v>
      </c>
      <c r="I151" s="100" t="s">
        <v>59</v>
      </c>
      <c r="J151" s="100" t="s">
        <v>44</v>
      </c>
      <c r="K151" s="100" t="s">
        <v>45</v>
      </c>
      <c r="L151" s="98">
        <v>6074</v>
      </c>
      <c r="M151" s="98">
        <v>1</v>
      </c>
      <c r="N151" s="98">
        <v>0</v>
      </c>
      <c r="O151" s="101">
        <v>0.41</v>
      </c>
      <c r="P151" s="101">
        <v>0</v>
      </c>
      <c r="Q151" s="101" t="e">
        <v>#N/A</v>
      </c>
      <c r="R151" s="102">
        <v>0</v>
      </c>
      <c r="S151" s="103">
        <v>0</v>
      </c>
      <c r="T151" s="103">
        <v>0.00016463615409944</v>
      </c>
      <c r="U151" s="102">
        <v>0.41</v>
      </c>
      <c r="V151" s="102" t="e">
        <v>#DIV/0!</v>
      </c>
      <c r="W151" s="103" t="e">
        <v>#DIV/0!</v>
      </c>
    </row>
    <row r="152" customFormat="1" ht="22.5" customHeight="1" spans="1:23">
      <c r="A152" s="97" t="s">
        <v>215</v>
      </c>
      <c r="B152" s="98" t="s">
        <v>187</v>
      </c>
      <c r="C152" s="98" t="s">
        <v>190</v>
      </c>
      <c r="D152" s="98" t="s">
        <v>191</v>
      </c>
      <c r="E152" s="98" t="s">
        <v>63</v>
      </c>
      <c r="F152" s="99">
        <v>46135</v>
      </c>
      <c r="G152" s="100">
        <v>46108</v>
      </c>
      <c r="H152" s="100">
        <v>46141</v>
      </c>
      <c r="I152" s="100" t="s">
        <v>59</v>
      </c>
      <c r="J152" s="100" t="s">
        <v>44</v>
      </c>
      <c r="K152" s="100" t="s">
        <v>45</v>
      </c>
      <c r="L152" s="98">
        <v>7224</v>
      </c>
      <c r="M152" s="98">
        <v>9</v>
      </c>
      <c r="N152" s="98">
        <v>0</v>
      </c>
      <c r="O152" s="101">
        <v>4.9</v>
      </c>
      <c r="P152" s="101">
        <v>0</v>
      </c>
      <c r="Q152" s="101" t="e">
        <v>#N/A</v>
      </c>
      <c r="R152" s="102">
        <v>0</v>
      </c>
      <c r="S152" s="103">
        <v>0</v>
      </c>
      <c r="T152" s="103">
        <v>0.00124584717607973</v>
      </c>
      <c r="U152" s="102">
        <v>0.544444444444445</v>
      </c>
      <c r="V152" s="102" t="e">
        <v>#DIV/0!</v>
      </c>
      <c r="W152" s="103" t="e">
        <v>#DIV/0!</v>
      </c>
    </row>
    <row r="153" customFormat="1" ht="22.5" customHeight="1" spans="1:23">
      <c r="A153" s="97" t="s">
        <v>215</v>
      </c>
      <c r="B153" s="98" t="s">
        <v>218</v>
      </c>
      <c r="C153" s="98" t="s">
        <v>219</v>
      </c>
      <c r="D153" s="98" t="s">
        <v>220</v>
      </c>
      <c r="E153" s="98" t="s">
        <v>63</v>
      </c>
      <c r="F153" s="99">
        <v>46140</v>
      </c>
      <c r="G153" s="100">
        <v>46108</v>
      </c>
      <c r="H153" s="100" t="s">
        <v>120</v>
      </c>
      <c r="I153" s="100" t="s">
        <v>59</v>
      </c>
      <c r="J153" s="100" t="s">
        <v>44</v>
      </c>
      <c r="K153" s="100" t="s">
        <v>45</v>
      </c>
      <c r="L153" s="98">
        <v>9084</v>
      </c>
      <c r="M153" s="98">
        <v>9</v>
      </c>
      <c r="N153" s="98">
        <v>0</v>
      </c>
      <c r="O153" s="101">
        <v>9.87</v>
      </c>
      <c r="P153" s="101">
        <v>0</v>
      </c>
      <c r="Q153" s="101" t="e">
        <v>#N/A</v>
      </c>
      <c r="R153" s="102">
        <v>0</v>
      </c>
      <c r="S153" s="103">
        <v>0</v>
      </c>
      <c r="T153" s="103">
        <v>0.000990752972258917</v>
      </c>
      <c r="U153" s="102">
        <v>1.09666666666667</v>
      </c>
      <c r="V153" s="102" t="e">
        <v>#DIV/0!</v>
      </c>
      <c r="W153" s="103" t="e">
        <v>#DIV/0!</v>
      </c>
    </row>
    <row r="154" customFormat="1" ht="22.5" customHeight="1" spans="1:23">
      <c r="A154" s="97" t="s">
        <v>215</v>
      </c>
      <c r="B154" s="98" t="s">
        <v>221</v>
      </c>
      <c r="C154" s="98" t="s">
        <v>222</v>
      </c>
      <c r="D154" s="98" t="s">
        <v>223</v>
      </c>
      <c r="E154" s="98" t="s">
        <v>63</v>
      </c>
      <c r="F154" s="99">
        <v>46141</v>
      </c>
      <c r="G154" s="100">
        <v>46062</v>
      </c>
      <c r="H154" s="100">
        <v>46063</v>
      </c>
      <c r="I154" s="100" t="s">
        <v>59</v>
      </c>
      <c r="J154" s="100" t="s">
        <v>44</v>
      </c>
      <c r="K154" s="100" t="s">
        <v>34</v>
      </c>
      <c r="L154" s="98">
        <v>13</v>
      </c>
      <c r="M154" s="98">
        <v>0</v>
      </c>
      <c r="N154" s="98">
        <v>0</v>
      </c>
      <c r="O154" s="101">
        <v>0</v>
      </c>
      <c r="P154" s="101">
        <v>0</v>
      </c>
      <c r="Q154" s="101" t="e">
        <v>#N/A</v>
      </c>
      <c r="R154" s="102" t="e">
        <v>#DIV/0!</v>
      </c>
      <c r="S154" s="103" t="e">
        <v>#DIV/0!</v>
      </c>
      <c r="T154" s="103">
        <v>0</v>
      </c>
      <c r="U154" s="102" t="e">
        <v>#DIV/0!</v>
      </c>
      <c r="V154" s="102" t="e">
        <v>#DIV/0!</v>
      </c>
      <c r="W154" s="103" t="e">
        <v>#DIV/0!</v>
      </c>
    </row>
    <row r="155" customFormat="1" ht="22.5" customHeight="1" spans="1:23">
      <c r="A155" s="97" t="s">
        <v>215</v>
      </c>
      <c r="B155" s="98" t="s">
        <v>224</v>
      </c>
      <c r="C155" s="98" t="s">
        <v>225</v>
      </c>
      <c r="D155" s="98" t="s">
        <v>226</v>
      </c>
      <c r="E155" s="98" t="s">
        <v>63</v>
      </c>
      <c r="F155" s="99">
        <v>46141</v>
      </c>
      <c r="G155" s="100">
        <v>46097</v>
      </c>
      <c r="H155" s="100">
        <v>46104</v>
      </c>
      <c r="I155" s="100" t="s">
        <v>51</v>
      </c>
      <c r="J155" s="100" t="s">
        <v>52</v>
      </c>
      <c r="K155" s="100" t="s">
        <v>34</v>
      </c>
      <c r="L155" s="98">
        <v>55</v>
      </c>
      <c r="M155" s="98">
        <v>3</v>
      </c>
      <c r="N155" s="98">
        <v>0</v>
      </c>
      <c r="O155" s="101">
        <v>1.36</v>
      </c>
      <c r="P155" s="101">
        <v>0</v>
      </c>
      <c r="Q155" s="101" t="e">
        <v>#N/A</v>
      </c>
      <c r="R155" s="102">
        <v>0</v>
      </c>
      <c r="S155" s="103">
        <v>0</v>
      </c>
      <c r="T155" s="103">
        <v>0.0545454545454545</v>
      </c>
      <c r="U155" s="102">
        <v>0.453333333333333</v>
      </c>
      <c r="V155" s="102" t="e">
        <v>#DIV/0!</v>
      </c>
      <c r="W155" s="103" t="e">
        <v>#DIV/0!</v>
      </c>
    </row>
    <row r="156" customFormat="1" ht="22.5" customHeight="1" spans="1:23">
      <c r="A156" s="97" t="s">
        <v>215</v>
      </c>
      <c r="B156" s="98" t="s">
        <v>86</v>
      </c>
      <c r="C156" s="98" t="s">
        <v>46</v>
      </c>
      <c r="D156" s="98" t="s">
        <v>157</v>
      </c>
      <c r="E156" s="98" t="s">
        <v>88</v>
      </c>
      <c r="F156" s="99">
        <v>46122</v>
      </c>
      <c r="G156" s="100">
        <v>46066</v>
      </c>
      <c r="H156" s="100">
        <v>46077</v>
      </c>
      <c r="I156" s="100" t="s">
        <v>32</v>
      </c>
      <c r="J156" s="100" t="s">
        <v>39</v>
      </c>
      <c r="K156" s="100" t="s">
        <v>34</v>
      </c>
      <c r="L156" s="98">
        <v>1894</v>
      </c>
      <c r="M156" s="98">
        <v>2</v>
      </c>
      <c r="N156" s="98">
        <v>0</v>
      </c>
      <c r="O156" s="101">
        <v>0.95</v>
      </c>
      <c r="P156" s="101">
        <v>0</v>
      </c>
      <c r="Q156" s="101" t="e">
        <v>#N/A</v>
      </c>
      <c r="R156" s="102">
        <v>0</v>
      </c>
      <c r="S156" s="103">
        <v>0</v>
      </c>
      <c r="T156" s="103">
        <v>0.00105596620908131</v>
      </c>
      <c r="U156" s="102">
        <v>0.475</v>
      </c>
      <c r="V156" s="102" t="e">
        <v>#DIV/0!</v>
      </c>
      <c r="W156" s="103" t="e">
        <v>#DIV/0!</v>
      </c>
    </row>
    <row r="157" customFormat="1" ht="22.5" customHeight="1" spans="1:23">
      <c r="A157" s="97" t="s">
        <v>215</v>
      </c>
      <c r="B157" s="98" t="s">
        <v>138</v>
      </c>
      <c r="C157" s="98" t="s">
        <v>139</v>
      </c>
      <c r="D157" s="98" t="s">
        <v>140</v>
      </c>
      <c r="E157" s="98" t="s">
        <v>31</v>
      </c>
      <c r="F157" s="99">
        <v>46092</v>
      </c>
      <c r="G157" s="100">
        <v>46091</v>
      </c>
      <c r="H157" s="100">
        <v>46101</v>
      </c>
      <c r="I157" s="100" t="s">
        <v>32</v>
      </c>
      <c r="J157" s="100" t="s">
        <v>39</v>
      </c>
      <c r="K157" s="100" t="s">
        <v>34</v>
      </c>
      <c r="L157" s="98">
        <v>785</v>
      </c>
      <c r="M157" s="98">
        <v>1</v>
      </c>
      <c r="N157" s="98">
        <v>0</v>
      </c>
      <c r="O157" s="101">
        <v>0.38</v>
      </c>
      <c r="P157" s="101">
        <v>0</v>
      </c>
      <c r="Q157" s="101" t="e">
        <v>#N/A</v>
      </c>
      <c r="R157" s="102">
        <v>0</v>
      </c>
      <c r="S157" s="103">
        <v>0</v>
      </c>
      <c r="T157" s="103">
        <v>0.00127388535031847</v>
      </c>
      <c r="U157" s="102">
        <v>0.38</v>
      </c>
      <c r="V157" s="102" t="e">
        <v>#DIV/0!</v>
      </c>
      <c r="W157" s="103" t="e">
        <v>#DIV/0!</v>
      </c>
    </row>
    <row r="158" customFormat="1" ht="22.5" customHeight="1" spans="1:23">
      <c r="A158" s="97" t="s">
        <v>215</v>
      </c>
      <c r="B158" s="98" t="s">
        <v>146</v>
      </c>
      <c r="C158" s="98" t="s">
        <v>122</v>
      </c>
      <c r="D158" s="98" t="s">
        <v>147</v>
      </c>
      <c r="E158" s="98" t="s">
        <v>31</v>
      </c>
      <c r="F158" s="99">
        <v>46098</v>
      </c>
      <c r="G158" s="100">
        <v>46097</v>
      </c>
      <c r="H158" s="100">
        <v>46103</v>
      </c>
      <c r="I158" s="100" t="s">
        <v>51</v>
      </c>
      <c r="J158" s="100" t="s">
        <v>44</v>
      </c>
      <c r="K158" s="100" t="s">
        <v>34</v>
      </c>
      <c r="L158" s="98">
        <v>1033</v>
      </c>
      <c r="M158" s="98">
        <v>5</v>
      </c>
      <c r="N158" s="98">
        <v>0</v>
      </c>
      <c r="O158" s="101">
        <v>1.81</v>
      </c>
      <c r="P158" s="101">
        <v>0</v>
      </c>
      <c r="Q158" s="101" t="e">
        <v>#N/A</v>
      </c>
      <c r="R158" s="102">
        <v>0</v>
      </c>
      <c r="S158" s="103">
        <v>0</v>
      </c>
      <c r="T158" s="103">
        <v>0.00484027105517909</v>
      </c>
      <c r="U158" s="102">
        <v>0.362</v>
      </c>
      <c r="V158" s="102" t="e">
        <v>#DIV/0!</v>
      </c>
      <c r="W158" s="103" t="e">
        <v>#DIV/0!</v>
      </c>
    </row>
    <row r="159" customFormat="1" ht="22.5" customHeight="1" spans="1:23">
      <c r="A159" s="97" t="s">
        <v>215</v>
      </c>
      <c r="B159" s="98" t="s">
        <v>93</v>
      </c>
      <c r="C159" s="98" t="s">
        <v>94</v>
      </c>
      <c r="D159" s="98" t="s">
        <v>95</v>
      </c>
      <c r="E159" s="98" t="s">
        <v>31</v>
      </c>
      <c r="F159" s="99">
        <v>46100</v>
      </c>
      <c r="G159" s="100">
        <v>46097</v>
      </c>
      <c r="H159" s="100">
        <v>46100</v>
      </c>
      <c r="I159" s="100" t="s">
        <v>96</v>
      </c>
      <c r="J159" s="100" t="s">
        <v>97</v>
      </c>
      <c r="K159" s="100" t="s">
        <v>34</v>
      </c>
      <c r="L159" s="98">
        <v>62</v>
      </c>
      <c r="M159" s="98">
        <v>0</v>
      </c>
      <c r="N159" s="98">
        <v>0</v>
      </c>
      <c r="O159" s="101">
        <v>0</v>
      </c>
      <c r="P159" s="101">
        <v>0</v>
      </c>
      <c r="Q159" s="101" t="e">
        <v>#N/A</v>
      </c>
      <c r="R159" s="102" t="e">
        <v>#DIV/0!</v>
      </c>
      <c r="S159" s="103" t="e">
        <v>#DIV/0!</v>
      </c>
      <c r="T159" s="103">
        <v>0</v>
      </c>
      <c r="U159" s="102" t="e">
        <v>#DIV/0!</v>
      </c>
      <c r="V159" s="102" t="e">
        <v>#DIV/0!</v>
      </c>
      <c r="W159" s="103" t="e">
        <v>#DIV/0!</v>
      </c>
    </row>
    <row r="160" customFormat="1" ht="22.5" customHeight="1" spans="1:23">
      <c r="A160" s="97" t="s">
        <v>215</v>
      </c>
      <c r="B160" s="98" t="s">
        <v>126</v>
      </c>
      <c r="C160" s="98" t="s">
        <v>118</v>
      </c>
      <c r="D160" s="98" t="s">
        <v>127</v>
      </c>
      <c r="E160" s="98" t="s">
        <v>31</v>
      </c>
      <c r="F160" s="99">
        <v>46104</v>
      </c>
      <c r="G160" s="100">
        <v>46104</v>
      </c>
      <c r="H160" s="100">
        <v>46134</v>
      </c>
      <c r="I160" s="100" t="s">
        <v>32</v>
      </c>
      <c r="J160" s="100" t="s">
        <v>97</v>
      </c>
      <c r="K160" s="100" t="s">
        <v>34</v>
      </c>
      <c r="L160" s="98">
        <v>263</v>
      </c>
      <c r="M160" s="98">
        <v>6</v>
      </c>
      <c r="N160" s="98">
        <v>0</v>
      </c>
      <c r="O160" s="101">
        <v>4.73</v>
      </c>
      <c r="P160" s="101">
        <v>0</v>
      </c>
      <c r="Q160" s="101" t="e">
        <v>#N/A</v>
      </c>
      <c r="R160" s="102">
        <v>0</v>
      </c>
      <c r="S160" s="103">
        <v>0</v>
      </c>
      <c r="T160" s="103">
        <v>0.0228136882129278</v>
      </c>
      <c r="U160" s="102">
        <v>0.788333333333333</v>
      </c>
      <c r="V160" s="102" t="e">
        <v>#DIV/0!</v>
      </c>
      <c r="W160" s="103" t="e">
        <v>#DIV/0!</v>
      </c>
    </row>
    <row r="161" customFormat="1" ht="22.5" customHeight="1" spans="1:23">
      <c r="A161" s="97" t="s">
        <v>215</v>
      </c>
      <c r="B161" s="98" t="s">
        <v>65</v>
      </c>
      <c r="C161" s="98" t="s">
        <v>142</v>
      </c>
      <c r="D161" s="98" t="s">
        <v>169</v>
      </c>
      <c r="E161" s="98" t="s">
        <v>31</v>
      </c>
      <c r="F161" s="99">
        <v>46114</v>
      </c>
      <c r="G161" s="100">
        <v>46092</v>
      </c>
      <c r="H161" s="100">
        <v>46096</v>
      </c>
      <c r="I161" s="100" t="s">
        <v>68</v>
      </c>
      <c r="J161" s="100" t="s">
        <v>39</v>
      </c>
      <c r="K161" s="100" t="s">
        <v>45</v>
      </c>
      <c r="L161" s="98">
        <v>45</v>
      </c>
      <c r="M161" s="98">
        <v>0</v>
      </c>
      <c r="N161" s="98">
        <v>0</v>
      </c>
      <c r="O161" s="101">
        <v>0</v>
      </c>
      <c r="P161" s="101">
        <v>0</v>
      </c>
      <c r="Q161" s="101" t="e">
        <v>#N/A</v>
      </c>
      <c r="R161" s="102" t="e">
        <v>#DIV/0!</v>
      </c>
      <c r="S161" s="103" t="e">
        <v>#DIV/0!</v>
      </c>
      <c r="T161" s="103">
        <v>0</v>
      </c>
      <c r="U161" s="102" t="e">
        <v>#DIV/0!</v>
      </c>
      <c r="V161" s="102" t="e">
        <v>#DIV/0!</v>
      </c>
      <c r="W161" s="103" t="e">
        <v>#DIV/0!</v>
      </c>
    </row>
    <row r="162" customFormat="1" ht="22.5" customHeight="1" spans="1:23">
      <c r="A162" s="97" t="s">
        <v>215</v>
      </c>
      <c r="B162" s="98" t="s">
        <v>65</v>
      </c>
      <c r="C162" s="98" t="s">
        <v>66</v>
      </c>
      <c r="D162" s="98" t="s">
        <v>67</v>
      </c>
      <c r="E162" s="98" t="s">
        <v>31</v>
      </c>
      <c r="F162" s="99">
        <v>46114</v>
      </c>
      <c r="G162" s="100">
        <v>46092</v>
      </c>
      <c r="H162" s="100">
        <v>46112</v>
      </c>
      <c r="I162" s="100" t="s">
        <v>68</v>
      </c>
      <c r="J162" s="100" t="s">
        <v>39</v>
      </c>
      <c r="K162" s="100" t="s">
        <v>45</v>
      </c>
      <c r="L162" s="98">
        <v>53</v>
      </c>
      <c r="M162" s="98">
        <v>0</v>
      </c>
      <c r="N162" s="98">
        <v>0</v>
      </c>
      <c r="O162" s="101">
        <v>0</v>
      </c>
      <c r="P162" s="101">
        <v>0</v>
      </c>
      <c r="Q162" s="101" t="e">
        <v>#N/A</v>
      </c>
      <c r="R162" s="102" t="e">
        <v>#DIV/0!</v>
      </c>
      <c r="S162" s="103" t="e">
        <v>#DIV/0!</v>
      </c>
      <c r="T162" s="103">
        <v>0</v>
      </c>
      <c r="U162" s="102" t="e">
        <v>#DIV/0!</v>
      </c>
      <c r="V162" s="102" t="e">
        <v>#DIV/0!</v>
      </c>
      <c r="W162" s="103" t="e">
        <v>#DIV/0!</v>
      </c>
    </row>
    <row r="163" customFormat="1" ht="22.5" customHeight="1" spans="1:23">
      <c r="A163" s="97" t="s">
        <v>215</v>
      </c>
      <c r="B163" s="98" t="s">
        <v>203</v>
      </c>
      <c r="C163" s="98" t="s">
        <v>204</v>
      </c>
      <c r="D163" s="98" t="s">
        <v>205</v>
      </c>
      <c r="E163" s="98" t="s">
        <v>31</v>
      </c>
      <c r="F163" s="99">
        <v>46136</v>
      </c>
      <c r="G163" s="100">
        <v>46135</v>
      </c>
      <c r="H163" s="100" t="s">
        <v>120</v>
      </c>
      <c r="I163" s="100" t="s">
        <v>96</v>
      </c>
      <c r="J163" s="100" t="s">
        <v>97</v>
      </c>
      <c r="K163" s="100" t="s">
        <v>34</v>
      </c>
      <c r="L163" s="98">
        <v>579</v>
      </c>
      <c r="M163" s="98">
        <v>3</v>
      </c>
      <c r="N163" s="98">
        <v>0</v>
      </c>
      <c r="O163" s="101">
        <v>2.18</v>
      </c>
      <c r="P163" s="101">
        <v>0</v>
      </c>
      <c r="Q163" s="101" t="e">
        <v>#N/A</v>
      </c>
      <c r="R163" s="102">
        <v>0</v>
      </c>
      <c r="S163" s="103">
        <v>0</v>
      </c>
      <c r="T163" s="103">
        <v>0.00518134715025907</v>
      </c>
      <c r="U163" s="102">
        <v>0.726666666666667</v>
      </c>
      <c r="V163" s="102" t="e">
        <v>#DIV/0!</v>
      </c>
      <c r="W163" s="103" t="e">
        <v>#DIV/0!</v>
      </c>
    </row>
    <row r="164" customFormat="1" ht="22.5" customHeight="1" spans="1:23">
      <c r="A164" s="97" t="s">
        <v>215</v>
      </c>
      <c r="B164" s="98" t="s">
        <v>206</v>
      </c>
      <c r="C164" s="98" t="s">
        <v>207</v>
      </c>
      <c r="D164" s="98" t="s">
        <v>208</v>
      </c>
      <c r="E164" s="98" t="s">
        <v>31</v>
      </c>
      <c r="F164" s="99">
        <v>46137</v>
      </c>
      <c r="G164" s="100">
        <v>46135</v>
      </c>
      <c r="H164" s="100" t="s">
        <v>120</v>
      </c>
      <c r="I164" s="100" t="s">
        <v>51</v>
      </c>
      <c r="J164" s="100" t="s">
        <v>52</v>
      </c>
      <c r="K164" s="100" t="s">
        <v>34</v>
      </c>
      <c r="L164" s="98">
        <v>890</v>
      </c>
      <c r="M164" s="98">
        <v>1</v>
      </c>
      <c r="N164" s="98">
        <v>0</v>
      </c>
      <c r="O164" s="101">
        <v>0.44</v>
      </c>
      <c r="P164" s="101">
        <v>0</v>
      </c>
      <c r="Q164" s="101" t="e">
        <v>#N/A</v>
      </c>
      <c r="R164" s="102">
        <v>0</v>
      </c>
      <c r="S164" s="103">
        <v>0</v>
      </c>
      <c r="T164" s="103">
        <v>0.00112359550561798</v>
      </c>
      <c r="U164" s="102">
        <v>0.44</v>
      </c>
      <c r="V164" s="102" t="e">
        <v>#DIV/0!</v>
      </c>
      <c r="W164" s="103" t="e">
        <v>#DIV/0!</v>
      </c>
    </row>
    <row r="165" customFormat="1" ht="22.5" customHeight="1" spans="1:23">
      <c r="A165" s="97" t="s">
        <v>215</v>
      </c>
      <c r="B165" s="98" t="s">
        <v>209</v>
      </c>
      <c r="C165" s="98" t="s">
        <v>210</v>
      </c>
      <c r="D165" s="98" t="s">
        <v>211</v>
      </c>
      <c r="E165" s="98" t="s">
        <v>31</v>
      </c>
      <c r="F165" s="99">
        <v>46137</v>
      </c>
      <c r="G165" s="100">
        <v>46135</v>
      </c>
      <c r="H165" s="100">
        <v>46140</v>
      </c>
      <c r="I165" s="100" t="s">
        <v>51</v>
      </c>
      <c r="J165" s="100" t="s">
        <v>52</v>
      </c>
      <c r="K165" s="100" t="s">
        <v>34</v>
      </c>
      <c r="L165" s="98">
        <v>1557</v>
      </c>
      <c r="M165" s="98">
        <v>4</v>
      </c>
      <c r="N165" s="98">
        <v>0</v>
      </c>
      <c r="O165" s="101">
        <v>2.47</v>
      </c>
      <c r="P165" s="101">
        <v>0</v>
      </c>
      <c r="Q165" s="101" t="e">
        <v>#N/A</v>
      </c>
      <c r="R165" s="102">
        <v>0</v>
      </c>
      <c r="S165" s="103">
        <v>0</v>
      </c>
      <c r="T165" s="103">
        <v>0.00256904303147078</v>
      </c>
      <c r="U165" s="102">
        <v>0.6175</v>
      </c>
      <c r="V165" s="102" t="e">
        <v>#DIV/0!</v>
      </c>
      <c r="W165" s="103" t="e">
        <v>#DIV/0!</v>
      </c>
    </row>
    <row r="166" customFormat="1" ht="22.5" customHeight="1" spans="1:23">
      <c r="A166" s="97" t="s">
        <v>215</v>
      </c>
      <c r="B166" s="98" t="s">
        <v>212</v>
      </c>
      <c r="C166" s="98" t="s">
        <v>213</v>
      </c>
      <c r="D166" s="98" t="s">
        <v>214</v>
      </c>
      <c r="E166" s="98" t="s">
        <v>31</v>
      </c>
      <c r="F166" s="99">
        <v>46137</v>
      </c>
      <c r="G166" s="100">
        <v>46135</v>
      </c>
      <c r="H166" s="100" t="s">
        <v>120</v>
      </c>
      <c r="I166" s="100" t="s">
        <v>51</v>
      </c>
      <c r="J166" s="100" t="s">
        <v>52</v>
      </c>
      <c r="K166" s="100" t="s">
        <v>34</v>
      </c>
      <c r="L166" s="98">
        <v>407</v>
      </c>
      <c r="M166" s="98">
        <v>3</v>
      </c>
      <c r="N166" s="98">
        <v>0</v>
      </c>
      <c r="O166" s="101">
        <v>2.08</v>
      </c>
      <c r="P166" s="101">
        <v>0</v>
      </c>
      <c r="Q166" s="101" t="e">
        <v>#N/A</v>
      </c>
      <c r="R166" s="102">
        <v>0</v>
      </c>
      <c r="S166" s="103">
        <v>0</v>
      </c>
      <c r="T166" s="103">
        <v>0.00737100737100737</v>
      </c>
      <c r="U166" s="102">
        <v>0.693333333333333</v>
      </c>
      <c r="V166" s="102" t="e">
        <v>#DIV/0!</v>
      </c>
      <c r="W166" s="103" t="e">
        <v>#DIV/0!</v>
      </c>
    </row>
    <row r="167" customFormat="1" ht="22.5" customHeight="1" spans="1:23">
      <c r="A167" s="97" t="s">
        <v>215</v>
      </c>
      <c r="B167" s="98" t="s">
        <v>227</v>
      </c>
      <c r="C167" s="98" t="s">
        <v>228</v>
      </c>
      <c r="D167" s="98" t="s">
        <v>229</v>
      </c>
      <c r="E167" s="98" t="s">
        <v>31</v>
      </c>
      <c r="F167" s="99">
        <v>46141</v>
      </c>
      <c r="G167" s="100">
        <v>46140</v>
      </c>
      <c r="H167" s="100">
        <v>46142</v>
      </c>
      <c r="I167" s="100" t="s">
        <v>32</v>
      </c>
      <c r="J167" s="100" t="s">
        <v>33</v>
      </c>
      <c r="K167" s="100" t="s">
        <v>34</v>
      </c>
      <c r="L167" s="98">
        <v>10</v>
      </c>
      <c r="M167" s="98">
        <v>0</v>
      </c>
      <c r="N167" s="98">
        <v>0</v>
      </c>
      <c r="O167" s="101">
        <v>0</v>
      </c>
      <c r="P167" s="101">
        <v>0</v>
      </c>
      <c r="Q167" s="101" t="e">
        <v>#N/A</v>
      </c>
      <c r="R167" s="102" t="e">
        <v>#DIV/0!</v>
      </c>
      <c r="S167" s="103" t="e">
        <v>#DIV/0!</v>
      </c>
      <c r="T167" s="103">
        <v>0</v>
      </c>
      <c r="U167" s="102" t="e">
        <v>#DIV/0!</v>
      </c>
      <c r="V167" s="102" t="e">
        <v>#DIV/0!</v>
      </c>
      <c r="W167" s="103" t="e">
        <v>#DIV/0!</v>
      </c>
    </row>
    <row r="168" customFormat="1" ht="22.5" customHeight="1" spans="1:23">
      <c r="A168" s="97" t="s">
        <v>215</v>
      </c>
      <c r="B168" s="98" t="s">
        <v>230</v>
      </c>
      <c r="C168" s="98" t="s">
        <v>231</v>
      </c>
      <c r="D168" s="98" t="s">
        <v>232</v>
      </c>
      <c r="E168" s="98" t="s">
        <v>31</v>
      </c>
      <c r="F168" s="99">
        <v>46142</v>
      </c>
      <c r="G168" s="100">
        <v>46141</v>
      </c>
      <c r="H168" s="100" t="s">
        <v>120</v>
      </c>
      <c r="I168" s="100" t="s">
        <v>32</v>
      </c>
      <c r="J168" s="100" t="s">
        <v>52</v>
      </c>
      <c r="K168" s="100" t="s">
        <v>34</v>
      </c>
      <c r="L168" s="98">
        <v>0</v>
      </c>
      <c r="M168" s="98">
        <v>0</v>
      </c>
      <c r="N168" s="98">
        <v>0</v>
      </c>
      <c r="O168" s="101">
        <v>0</v>
      </c>
      <c r="P168" s="101">
        <v>0</v>
      </c>
      <c r="Q168" s="101" t="e">
        <v>#N/A</v>
      </c>
      <c r="R168" s="102" t="e">
        <v>#DIV/0!</v>
      </c>
      <c r="S168" s="103" t="e">
        <v>#DIV/0!</v>
      </c>
      <c r="T168" s="103" t="e">
        <v>#DIV/0!</v>
      </c>
      <c r="U168" s="102" t="e">
        <v>#DIV/0!</v>
      </c>
      <c r="V168" s="102" t="e">
        <v>#DIV/0!</v>
      </c>
      <c r="W168" s="103" t="e">
        <v>#DIV/0!</v>
      </c>
    </row>
    <row r="169" customFormat="1" ht="22.5" customHeight="1" spans="1:23">
      <c r="A169" s="97" t="s">
        <v>215</v>
      </c>
      <c r="B169" s="98" t="s">
        <v>233</v>
      </c>
      <c r="C169" s="98" t="s">
        <v>234</v>
      </c>
      <c r="D169" s="98" t="s">
        <v>235</v>
      </c>
      <c r="E169" s="98" t="s">
        <v>31</v>
      </c>
      <c r="F169" s="99">
        <v>46142</v>
      </c>
      <c r="G169" s="100">
        <v>46141</v>
      </c>
      <c r="H169" s="100">
        <v>46142</v>
      </c>
      <c r="I169" s="100" t="s">
        <v>96</v>
      </c>
      <c r="J169" s="100" t="s">
        <v>33</v>
      </c>
      <c r="K169" s="100" t="s">
        <v>34</v>
      </c>
      <c r="L169" s="98">
        <v>0</v>
      </c>
      <c r="M169" s="98">
        <v>0</v>
      </c>
      <c r="N169" s="98">
        <v>0</v>
      </c>
      <c r="O169" s="101">
        <v>0</v>
      </c>
      <c r="P169" s="101">
        <v>0</v>
      </c>
      <c r="Q169" s="101" t="e">
        <v>#N/A</v>
      </c>
      <c r="R169" s="102" t="e">
        <v>#DIV/0!</v>
      </c>
      <c r="S169" s="103" t="e">
        <v>#DIV/0!</v>
      </c>
      <c r="T169" s="103" t="e">
        <v>#DIV/0!</v>
      </c>
      <c r="U169" s="102" t="e">
        <v>#DIV/0!</v>
      </c>
      <c r="V169" s="102" t="e">
        <v>#DIV/0!</v>
      </c>
      <c r="W169" s="103" t="e">
        <v>#DIV/0!</v>
      </c>
    </row>
    <row r="170" customFormat="1" ht="22.5" customHeight="1" spans="1:23">
      <c r="A170" s="97" t="s">
        <v>215</v>
      </c>
      <c r="B170" s="98" t="s">
        <v>236</v>
      </c>
      <c r="C170" s="98" t="s">
        <v>237</v>
      </c>
      <c r="D170" s="98" t="s">
        <v>238</v>
      </c>
      <c r="E170" s="98" t="s">
        <v>31</v>
      </c>
      <c r="F170" s="99">
        <v>46142</v>
      </c>
      <c r="G170" s="100">
        <v>46108</v>
      </c>
      <c r="H170" s="100">
        <v>46111</v>
      </c>
      <c r="I170" s="100" t="s">
        <v>51</v>
      </c>
      <c r="J170" s="100" t="s">
        <v>52</v>
      </c>
      <c r="K170" s="100" t="s">
        <v>34</v>
      </c>
      <c r="L170" s="98">
        <v>2</v>
      </c>
      <c r="M170" s="98">
        <v>0</v>
      </c>
      <c r="N170" s="98">
        <v>0</v>
      </c>
      <c r="O170" s="101">
        <v>0</v>
      </c>
      <c r="P170" s="101">
        <v>0</v>
      </c>
      <c r="Q170" s="101" t="e">
        <v>#N/A</v>
      </c>
      <c r="R170" s="102" t="e">
        <v>#DIV/0!</v>
      </c>
      <c r="S170" s="103" t="e">
        <v>#DIV/0!</v>
      </c>
      <c r="T170" s="103">
        <v>0</v>
      </c>
      <c r="U170" s="102" t="e">
        <v>#DIV/0!</v>
      </c>
      <c r="V170" s="102" t="e">
        <v>#DIV/0!</v>
      </c>
      <c r="W170" s="103" t="e">
        <v>#DIV/0!</v>
      </c>
    </row>
    <row r="171" customFormat="1" ht="22.5" customHeight="1" spans="1:23">
      <c r="A171" s="97" t="s">
        <v>215</v>
      </c>
      <c r="B171" s="98" t="s">
        <v>236</v>
      </c>
      <c r="C171" s="98" t="s">
        <v>239</v>
      </c>
      <c r="D171" s="98" t="s">
        <v>240</v>
      </c>
      <c r="E171" s="98" t="s">
        <v>31</v>
      </c>
      <c r="F171" s="99">
        <v>46142</v>
      </c>
      <c r="G171" s="100">
        <v>46141</v>
      </c>
      <c r="H171" s="100" t="s">
        <v>120</v>
      </c>
      <c r="I171" s="100" t="s">
        <v>51</v>
      </c>
      <c r="J171" s="100" t="s">
        <v>52</v>
      </c>
      <c r="K171" s="100" t="s">
        <v>45</v>
      </c>
      <c r="L171" s="98">
        <v>5</v>
      </c>
      <c r="M171" s="98">
        <v>0</v>
      </c>
      <c r="N171" s="98">
        <v>0</v>
      </c>
      <c r="O171" s="101">
        <v>0</v>
      </c>
      <c r="P171" s="101">
        <v>0</v>
      </c>
      <c r="Q171" s="101" t="e">
        <v>#N/A</v>
      </c>
      <c r="R171" s="102" t="e">
        <v>#DIV/0!</v>
      </c>
      <c r="S171" s="103" t="e">
        <v>#DIV/0!</v>
      </c>
      <c r="T171" s="103">
        <v>0</v>
      </c>
      <c r="U171" s="102" t="e">
        <v>#DIV/0!</v>
      </c>
      <c r="V171" s="102" t="e">
        <v>#DIV/0!</v>
      </c>
      <c r="W171" s="103" t="e">
        <v>#DIV/0!</v>
      </c>
    </row>
    <row r="172" customFormat="1" ht="22.5" customHeight="1" spans="1:23">
      <c r="A172" s="97" t="s">
        <v>215</v>
      </c>
      <c r="B172" s="98" t="s">
        <v>236</v>
      </c>
      <c r="C172" s="98" t="s">
        <v>241</v>
      </c>
      <c r="D172" s="98" t="s">
        <v>242</v>
      </c>
      <c r="E172" s="98" t="s">
        <v>31</v>
      </c>
      <c r="F172" s="99">
        <v>46142</v>
      </c>
      <c r="G172" s="100">
        <v>46141</v>
      </c>
      <c r="H172" s="100" t="s">
        <v>120</v>
      </c>
      <c r="I172" s="100" t="s">
        <v>51</v>
      </c>
      <c r="J172" s="100" t="s">
        <v>52</v>
      </c>
      <c r="K172" s="100" t="s">
        <v>45</v>
      </c>
      <c r="L172" s="98">
        <v>5</v>
      </c>
      <c r="M172" s="98">
        <v>0</v>
      </c>
      <c r="N172" s="98">
        <v>0</v>
      </c>
      <c r="O172" s="101">
        <v>0</v>
      </c>
      <c r="P172" s="101">
        <v>0</v>
      </c>
      <c r="Q172" s="101" t="e">
        <v>#N/A</v>
      </c>
      <c r="R172" s="102" t="e">
        <v>#DIV/0!</v>
      </c>
      <c r="S172" s="103" t="e">
        <v>#DIV/0!</v>
      </c>
      <c r="T172" s="103">
        <v>0</v>
      </c>
      <c r="U172" s="102" t="e">
        <v>#DIV/0!</v>
      </c>
      <c r="V172" s="102" t="e">
        <v>#DIV/0!</v>
      </c>
      <c r="W172" s="103" t="e">
        <v>#DIV/0!</v>
      </c>
    </row>
    <row r="173" customFormat="1" ht="22.5" customHeight="1" spans="1:23">
      <c r="A173" s="97" t="s">
        <v>215</v>
      </c>
      <c r="B173" s="98" t="s">
        <v>243</v>
      </c>
      <c r="C173" s="98" t="s">
        <v>244</v>
      </c>
      <c r="D173" s="98" t="s">
        <v>245</v>
      </c>
      <c r="E173" s="98" t="s">
        <v>31</v>
      </c>
      <c r="F173" s="99">
        <v>46142</v>
      </c>
      <c r="G173" s="100">
        <v>46141</v>
      </c>
      <c r="H173" s="100" t="s">
        <v>120</v>
      </c>
      <c r="I173" s="100" t="s">
        <v>32</v>
      </c>
      <c r="J173" s="100" t="s">
        <v>52</v>
      </c>
      <c r="K173" s="100" t="s">
        <v>34</v>
      </c>
      <c r="L173" s="98">
        <v>2</v>
      </c>
      <c r="M173" s="98">
        <v>0</v>
      </c>
      <c r="N173" s="98">
        <v>0</v>
      </c>
      <c r="O173" s="101">
        <v>0</v>
      </c>
      <c r="P173" s="101">
        <v>0</v>
      </c>
      <c r="Q173" s="101" t="e">
        <v>#N/A</v>
      </c>
      <c r="R173" s="102" t="e">
        <v>#DIV/0!</v>
      </c>
      <c r="S173" s="103" t="e">
        <v>#DIV/0!</v>
      </c>
      <c r="T173" s="103">
        <v>0</v>
      </c>
      <c r="U173" s="102" t="e">
        <v>#DIV/0!</v>
      </c>
      <c r="V173" s="102" t="e">
        <v>#DIV/0!</v>
      </c>
      <c r="W173" s="103" t="e">
        <v>#DIV/0!</v>
      </c>
    </row>
    <row r="174" customFormat="1" ht="22.5" customHeight="1" spans="1:23">
      <c r="A174" s="97" t="s">
        <v>215</v>
      </c>
      <c r="B174" s="98" t="s">
        <v>243</v>
      </c>
      <c r="C174" s="98" t="s">
        <v>246</v>
      </c>
      <c r="D174" s="98" t="s">
        <v>247</v>
      </c>
      <c r="E174" s="98" t="s">
        <v>31</v>
      </c>
      <c r="F174" s="99">
        <v>46142</v>
      </c>
      <c r="G174" s="100">
        <v>46135</v>
      </c>
      <c r="H174" s="100">
        <v>46142</v>
      </c>
      <c r="I174" s="100" t="s">
        <v>32</v>
      </c>
      <c r="J174" s="100" t="s">
        <v>52</v>
      </c>
      <c r="K174" s="100" t="s">
        <v>34</v>
      </c>
      <c r="L174" s="98">
        <v>37</v>
      </c>
      <c r="M174" s="98">
        <v>1</v>
      </c>
      <c r="N174" s="98">
        <v>0</v>
      </c>
      <c r="O174" s="101">
        <v>0.41</v>
      </c>
      <c r="P174" s="101">
        <v>0</v>
      </c>
      <c r="Q174" s="101" t="e">
        <v>#N/A</v>
      </c>
      <c r="R174" s="102">
        <v>0</v>
      </c>
      <c r="S174" s="103">
        <v>0</v>
      </c>
      <c r="T174" s="103">
        <v>0.027027027027027</v>
      </c>
      <c r="U174" s="102">
        <v>0.41</v>
      </c>
      <c r="V174" s="102" t="e">
        <v>#DIV/0!</v>
      </c>
      <c r="W174" s="103" t="e">
        <v>#DIV/0!</v>
      </c>
    </row>
    <row r="175" customFormat="1" ht="22.5" customHeight="1" spans="1:23">
      <c r="A175" s="97" t="s">
        <v>215</v>
      </c>
      <c r="B175" s="98" t="s">
        <v>248</v>
      </c>
      <c r="C175" s="98" t="s">
        <v>249</v>
      </c>
      <c r="D175" s="98" t="s">
        <v>250</v>
      </c>
      <c r="E175" s="98" t="s">
        <v>31</v>
      </c>
      <c r="F175" s="99">
        <v>46142</v>
      </c>
      <c r="G175" s="100">
        <v>46140</v>
      </c>
      <c r="H175" s="100" t="s">
        <v>120</v>
      </c>
      <c r="I175" s="100" t="s">
        <v>64</v>
      </c>
      <c r="J175" s="100" t="s">
        <v>97</v>
      </c>
      <c r="K175" s="100" t="s">
        <v>34</v>
      </c>
      <c r="L175" s="98">
        <v>2</v>
      </c>
      <c r="M175" s="98">
        <v>0</v>
      </c>
      <c r="N175" s="98">
        <v>0</v>
      </c>
      <c r="O175" s="101">
        <v>0</v>
      </c>
      <c r="P175" s="101">
        <v>0</v>
      </c>
      <c r="Q175" s="101" t="e">
        <v>#N/A</v>
      </c>
      <c r="R175" s="102" t="e">
        <v>#DIV/0!</v>
      </c>
      <c r="S175" s="103" t="e">
        <v>#DIV/0!</v>
      </c>
      <c r="T175" s="103">
        <v>0</v>
      </c>
      <c r="U175" s="102" t="e">
        <v>#DIV/0!</v>
      </c>
      <c r="V175" s="102" t="e">
        <v>#DIV/0!</v>
      </c>
      <c r="W175" s="103" t="e">
        <v>#DIV/0!</v>
      </c>
    </row>
    <row r="176" customFormat="1" ht="22.5" customHeight="1" spans="1:23">
      <c r="A176" s="97" t="s">
        <v>215</v>
      </c>
      <c r="B176" s="98" t="s">
        <v>251</v>
      </c>
      <c r="C176" s="98" t="s">
        <v>252</v>
      </c>
      <c r="D176" s="98" t="s">
        <v>253</v>
      </c>
      <c r="E176" s="98" t="s">
        <v>31</v>
      </c>
      <c r="F176" s="99">
        <v>46142</v>
      </c>
      <c r="G176" s="100">
        <v>46108</v>
      </c>
      <c r="H176" s="100">
        <v>46111</v>
      </c>
      <c r="I176" s="100" t="s">
        <v>51</v>
      </c>
      <c r="J176" s="100" t="s">
        <v>52</v>
      </c>
      <c r="K176" s="100" t="s">
        <v>34</v>
      </c>
      <c r="L176" s="98">
        <v>7</v>
      </c>
      <c r="M176" s="98">
        <v>0</v>
      </c>
      <c r="N176" s="98">
        <v>0</v>
      </c>
      <c r="O176" s="101">
        <v>0</v>
      </c>
      <c r="P176" s="101">
        <v>0</v>
      </c>
      <c r="Q176" s="101" t="e">
        <v>#N/A</v>
      </c>
      <c r="R176" s="102" t="e">
        <v>#DIV/0!</v>
      </c>
      <c r="S176" s="103" t="e">
        <v>#DIV/0!</v>
      </c>
      <c r="T176" s="103">
        <v>0</v>
      </c>
      <c r="U176" s="102" t="e">
        <v>#DIV/0!</v>
      </c>
      <c r="V176" s="102" t="e">
        <v>#DIV/0!</v>
      </c>
      <c r="W176" s="103" t="e">
        <v>#DIV/0!</v>
      </c>
    </row>
    <row r="177" customFormat="1" ht="22.5" customHeight="1" spans="1:24">
      <c r="A177" s="97" t="s">
        <v>215</v>
      </c>
      <c r="B177" s="98" t="s">
        <v>254</v>
      </c>
      <c r="C177" s="98" t="s">
        <v>255</v>
      </c>
      <c r="D177" s="98" t="s">
        <v>256</v>
      </c>
      <c r="E177" s="98" t="s">
        <v>31</v>
      </c>
      <c r="F177" s="99">
        <v>46143</v>
      </c>
      <c r="G177" s="100">
        <v>46141</v>
      </c>
      <c r="H177" s="100" t="s">
        <v>120</v>
      </c>
      <c r="I177" s="100" t="s">
        <v>68</v>
      </c>
      <c r="J177" s="100" t="s">
        <v>92</v>
      </c>
      <c r="K177" s="100" t="s">
        <v>34</v>
      </c>
      <c r="L177" s="98">
        <v>0</v>
      </c>
      <c r="M177" s="98">
        <v>0</v>
      </c>
      <c r="N177" s="98">
        <v>0</v>
      </c>
      <c r="O177" s="101">
        <v>0</v>
      </c>
      <c r="P177" s="101">
        <v>0</v>
      </c>
      <c r="Q177" s="101" t="e">
        <v>#N/A</v>
      </c>
      <c r="R177" s="102" t="e">
        <v>#DIV/0!</v>
      </c>
      <c r="S177" s="103" t="e">
        <v>#DIV/0!</v>
      </c>
      <c r="T177" s="103" t="e">
        <v>#DIV/0!</v>
      </c>
      <c r="U177" s="102" t="e">
        <v>#DIV/0!</v>
      </c>
      <c r="V177" s="102" t="e">
        <v>#DIV/0!</v>
      </c>
      <c r="W177" s="103" t="e">
        <v>#DIV/0!</v>
      </c>
    </row>
    <row r="178" customFormat="1" ht="22.5" customHeight="1" spans="1:24">
      <c r="A178" s="97" t="s">
        <v>215</v>
      </c>
      <c r="B178" s="98" t="s">
        <v>257</v>
      </c>
      <c r="C178" s="98" t="s">
        <v>258</v>
      </c>
      <c r="D178" s="98" t="s">
        <v>259</v>
      </c>
      <c r="E178" s="98" t="s">
        <v>31</v>
      </c>
      <c r="F178" s="99">
        <v>46143</v>
      </c>
      <c r="G178" s="100">
        <v>46141</v>
      </c>
      <c r="H178" s="100" t="s">
        <v>120</v>
      </c>
      <c r="I178" s="100" t="s">
        <v>68</v>
      </c>
      <c r="J178" s="100" t="s">
        <v>92</v>
      </c>
      <c r="K178" s="100" t="s">
        <v>34</v>
      </c>
      <c r="L178" s="98">
        <v>0</v>
      </c>
      <c r="M178" s="98">
        <v>0</v>
      </c>
      <c r="N178" s="98">
        <v>0</v>
      </c>
      <c r="O178" s="101">
        <v>0</v>
      </c>
      <c r="P178" s="101">
        <v>0</v>
      </c>
      <c r="Q178" s="101" t="e">
        <v>#N/A</v>
      </c>
      <c r="R178" s="102" t="e">
        <v>#DIV/0!</v>
      </c>
      <c r="S178" s="103" t="e">
        <v>#DIV/0!</v>
      </c>
      <c r="T178" s="103" t="e">
        <v>#DIV/0!</v>
      </c>
      <c r="U178" s="102" t="e">
        <v>#DIV/0!</v>
      </c>
      <c r="V178" s="102" t="e">
        <v>#DIV/0!</v>
      </c>
      <c r="W178" s="103" t="e">
        <v>#DIV/0!</v>
      </c>
    </row>
    <row r="179" customFormat="1" ht="22.5" customHeight="1" spans="1:24">
      <c r="A179" s="97" t="s">
        <v>215</v>
      </c>
      <c r="B179" s="98" t="s">
        <v>260</v>
      </c>
      <c r="C179" s="98" t="s">
        <v>261</v>
      </c>
      <c r="D179" s="98" t="s">
        <v>262</v>
      </c>
      <c r="E179" s="98" t="s">
        <v>31</v>
      </c>
      <c r="F179" s="99">
        <v>46143</v>
      </c>
      <c r="G179" s="100">
        <v>46141</v>
      </c>
      <c r="H179" s="100">
        <v>46143</v>
      </c>
      <c r="I179" s="100" t="s">
        <v>68</v>
      </c>
      <c r="J179" s="100" t="s">
        <v>92</v>
      </c>
      <c r="K179" s="100" t="s">
        <v>34</v>
      </c>
      <c r="L179" s="98">
        <v>0</v>
      </c>
      <c r="M179" s="98">
        <v>0</v>
      </c>
      <c r="N179" s="98">
        <v>0</v>
      </c>
      <c r="O179" s="101">
        <v>0</v>
      </c>
      <c r="P179" s="101">
        <v>0</v>
      </c>
      <c r="Q179" s="101" t="e">
        <v>#N/A</v>
      </c>
      <c r="R179" s="102" t="e">
        <v>#DIV/0!</v>
      </c>
      <c r="S179" s="103" t="e">
        <v>#DIV/0!</v>
      </c>
      <c r="T179" s="103" t="e">
        <v>#DIV/0!</v>
      </c>
      <c r="U179" s="102" t="e">
        <v>#DIV/0!</v>
      </c>
      <c r="V179" s="102" t="e">
        <v>#DIV/0!</v>
      </c>
      <c r="W179" s="103" t="e">
        <v>#DIV/0!</v>
      </c>
    </row>
    <row r="180" customFormat="1" ht="22.5" customHeight="1" spans="1:24">
      <c r="A180" s="97" t="s">
        <v>215</v>
      </c>
      <c r="B180" s="98" t="s">
        <v>109</v>
      </c>
      <c r="C180" s="98" t="s">
        <v>163</v>
      </c>
      <c r="D180" s="98" t="s">
        <v>164</v>
      </c>
      <c r="E180" s="98" t="s">
        <v>38</v>
      </c>
      <c r="F180" s="99">
        <v>46078</v>
      </c>
      <c r="G180" s="100">
        <v>46076</v>
      </c>
      <c r="H180" s="100">
        <v>46082</v>
      </c>
      <c r="I180" s="100" t="s">
        <v>96</v>
      </c>
      <c r="J180" s="100" t="s">
        <v>97</v>
      </c>
      <c r="K180" s="100" t="s">
        <v>34</v>
      </c>
      <c r="L180" s="98">
        <v>793</v>
      </c>
      <c r="M180" s="98">
        <v>0</v>
      </c>
      <c r="N180" s="98">
        <v>0</v>
      </c>
      <c r="O180" s="101">
        <v>0</v>
      </c>
      <c r="P180" s="101">
        <v>0</v>
      </c>
      <c r="Q180" s="101" t="e">
        <v>#N/A</v>
      </c>
      <c r="R180" s="102" t="e">
        <v>#DIV/0!</v>
      </c>
      <c r="S180" s="103" t="e">
        <v>#DIV/0!</v>
      </c>
      <c r="T180" s="103">
        <v>0</v>
      </c>
      <c r="U180" s="102" t="e">
        <v>#DIV/0!</v>
      </c>
      <c r="V180" s="102" t="e">
        <v>#DIV/0!</v>
      </c>
      <c r="W180" s="103" t="e">
        <v>#DIV/0!</v>
      </c>
    </row>
    <row r="181" customFormat="1" ht="22.5" customHeight="1" spans="1:24">
      <c r="A181" s="97" t="s">
        <v>215</v>
      </c>
      <c r="B181" s="98" t="s">
        <v>109</v>
      </c>
      <c r="C181" s="98" t="s">
        <v>110</v>
      </c>
      <c r="D181" s="98" t="s">
        <v>111</v>
      </c>
      <c r="E181" s="98" t="s">
        <v>38</v>
      </c>
      <c r="F181" s="99">
        <v>46078</v>
      </c>
      <c r="G181" s="100">
        <v>46076</v>
      </c>
      <c r="H181" s="100">
        <v>46084</v>
      </c>
      <c r="I181" s="100" t="s">
        <v>96</v>
      </c>
      <c r="J181" s="100" t="s">
        <v>97</v>
      </c>
      <c r="K181" s="100" t="s">
        <v>45</v>
      </c>
      <c r="L181" s="98">
        <v>1143</v>
      </c>
      <c r="M181" s="98">
        <v>1</v>
      </c>
      <c r="N181" s="98">
        <v>0</v>
      </c>
      <c r="O181" s="101">
        <v>0.46</v>
      </c>
      <c r="P181" s="101">
        <v>0</v>
      </c>
      <c r="Q181" s="101" t="e">
        <v>#N/A</v>
      </c>
      <c r="R181" s="102">
        <v>0</v>
      </c>
      <c r="S181" s="103">
        <v>0</v>
      </c>
      <c r="T181" s="103">
        <v>0.000874890638670166</v>
      </c>
      <c r="U181" s="102">
        <v>0.46</v>
      </c>
      <c r="V181" s="102" t="e">
        <v>#DIV/0!</v>
      </c>
      <c r="W181" s="103" t="e">
        <v>#DIV/0!</v>
      </c>
    </row>
    <row r="182" customFormat="1" ht="22.5" customHeight="1" spans="1:24">
      <c r="A182" s="97" t="s">
        <v>215</v>
      </c>
      <c r="B182" s="98" t="s">
        <v>109</v>
      </c>
      <c r="C182" s="98" t="s">
        <v>161</v>
      </c>
      <c r="D182" s="98" t="s">
        <v>162</v>
      </c>
      <c r="E182" s="98" t="s">
        <v>38</v>
      </c>
      <c r="F182" s="99">
        <v>46078</v>
      </c>
      <c r="G182" s="100">
        <v>46076</v>
      </c>
      <c r="H182" s="100">
        <v>46096</v>
      </c>
      <c r="I182" s="100" t="s">
        <v>96</v>
      </c>
      <c r="J182" s="100" t="s">
        <v>97</v>
      </c>
      <c r="K182" s="100" t="s">
        <v>45</v>
      </c>
      <c r="L182" s="98">
        <v>1509</v>
      </c>
      <c r="M182" s="98">
        <v>3</v>
      </c>
      <c r="N182" s="98">
        <v>0</v>
      </c>
      <c r="O182" s="101">
        <v>2.52</v>
      </c>
      <c r="P182" s="101">
        <v>0</v>
      </c>
      <c r="Q182" s="101" t="e">
        <v>#N/A</v>
      </c>
      <c r="R182" s="102">
        <v>0</v>
      </c>
      <c r="S182" s="103">
        <v>0</v>
      </c>
      <c r="T182" s="103">
        <v>0.00198807157057654</v>
      </c>
      <c r="U182" s="102">
        <v>0.84</v>
      </c>
      <c r="V182" s="102" t="e">
        <v>#DIV/0!</v>
      </c>
      <c r="W182" s="103" t="e">
        <v>#DIV/0!</v>
      </c>
    </row>
    <row r="183" customFormat="1" ht="22.5" customHeight="1" spans="1:24">
      <c r="A183" s="97" t="s">
        <v>215</v>
      </c>
      <c r="B183" s="98" t="s">
        <v>167</v>
      </c>
      <c r="C183" s="98" t="s">
        <v>149</v>
      </c>
      <c r="D183" s="98" t="s">
        <v>168</v>
      </c>
      <c r="E183" s="98" t="s">
        <v>38</v>
      </c>
      <c r="F183" s="99">
        <v>46097</v>
      </c>
      <c r="G183" s="100">
        <v>46085</v>
      </c>
      <c r="H183" s="100">
        <v>46100</v>
      </c>
      <c r="I183" s="100" t="s">
        <v>32</v>
      </c>
      <c r="J183" s="100" t="s">
        <v>44</v>
      </c>
      <c r="K183" s="100" t="s">
        <v>34</v>
      </c>
      <c r="L183" s="98">
        <v>338</v>
      </c>
      <c r="M183" s="98">
        <v>7</v>
      </c>
      <c r="N183" s="98">
        <v>0</v>
      </c>
      <c r="O183" s="101">
        <v>2.94</v>
      </c>
      <c r="P183" s="101">
        <v>0</v>
      </c>
      <c r="Q183" s="101" t="e">
        <v>#N/A</v>
      </c>
      <c r="R183" s="102">
        <v>0</v>
      </c>
      <c r="S183" s="103">
        <v>0</v>
      </c>
      <c r="T183" s="103">
        <v>0.0207100591715976</v>
      </c>
      <c r="U183" s="102">
        <v>0.42</v>
      </c>
      <c r="V183" s="102" t="e">
        <v>#DIV/0!</v>
      </c>
      <c r="W183" s="103" t="e">
        <v>#DIV/0!</v>
      </c>
    </row>
    <row r="184" ht="22.5" customHeight="1" spans="1:24">
      <c r="A184" s="104" t="s">
        <v>263</v>
      </c>
      <c r="B184" s="105" t="s">
        <v>25</v>
      </c>
      <c r="C184" s="105" t="s">
        <v>26</v>
      </c>
      <c r="D184" s="105"/>
      <c r="E184" s="105"/>
      <c r="F184" s="105">
        <v>53</v>
      </c>
      <c r="G184" s="105"/>
      <c r="H184" s="105"/>
      <c r="I184" s="105"/>
      <c r="J184" s="105" t="s">
        <v>27</v>
      </c>
      <c r="K184" s="105"/>
      <c r="L184" s="106">
        <v>119686</v>
      </c>
      <c r="M184" s="106">
        <v>429</v>
      </c>
      <c r="N184" s="106">
        <v>27</v>
      </c>
      <c r="O184" s="107">
        <v>272.56</v>
      </c>
      <c r="P184" s="107">
        <v>1754.44</v>
      </c>
      <c r="Q184" s="107">
        <v>6955.73</v>
      </c>
      <c r="R184" s="108">
        <v>6.43689462870561</v>
      </c>
      <c r="S184" s="109">
        <v>0.0629370629370629</v>
      </c>
      <c r="T184" s="109">
        <v>0.00358437912537807</v>
      </c>
      <c r="U184" s="108">
        <v>0.635337995337995</v>
      </c>
      <c r="V184" s="108">
        <v>10.0948148148148</v>
      </c>
      <c r="W184" s="96">
        <v>0.155354415084015</v>
      </c>
      <c r="X184" s="96">
        <v>0.0391849597382302</v>
      </c>
    </row>
    <row r="185" ht="22.5" customHeight="1" spans="1:24">
      <c r="A185" s="97" t="s">
        <v>263</v>
      </c>
      <c r="B185" s="98" t="s">
        <v>28</v>
      </c>
      <c r="C185" s="98" t="s">
        <v>29</v>
      </c>
      <c r="D185" s="98" t="s">
        <v>30</v>
      </c>
      <c r="E185" s="98" t="s">
        <v>31</v>
      </c>
      <c r="F185" s="99">
        <v>46114</v>
      </c>
      <c r="G185" s="100">
        <v>46108</v>
      </c>
      <c r="H185" s="100">
        <v>46114</v>
      </c>
      <c r="I185" s="100" t="s">
        <v>32</v>
      </c>
      <c r="J185" s="100" t="s">
        <v>33</v>
      </c>
      <c r="K185" s="100" t="s">
        <v>34</v>
      </c>
      <c r="L185" s="98">
        <v>1587</v>
      </c>
      <c r="M185" s="98">
        <v>46</v>
      </c>
      <c r="N185" s="98">
        <v>9</v>
      </c>
      <c r="O185" s="101">
        <v>16.13</v>
      </c>
      <c r="P185" s="101">
        <v>342.19</v>
      </c>
      <c r="Q185" s="101">
        <v>630</v>
      </c>
      <c r="R185" s="102">
        <v>21.2145071295722</v>
      </c>
      <c r="S185" s="103">
        <v>0.195652173913043</v>
      </c>
      <c r="T185" s="103">
        <v>0.0289855072463768</v>
      </c>
      <c r="U185" s="102">
        <v>0.350652173913043</v>
      </c>
      <c r="V185" s="102">
        <v>1.79222222222222</v>
      </c>
      <c r="W185" s="103">
        <v>0.0471375551594144</v>
      </c>
      <c r="X185" s="103">
        <v>0.0256031746031746</v>
      </c>
    </row>
    <row r="186" ht="22.5" customHeight="1" spans="1:24">
      <c r="A186" s="97" t="s">
        <v>263</v>
      </c>
      <c r="B186" s="98" t="s">
        <v>264</v>
      </c>
      <c r="C186" s="98" t="s">
        <v>265</v>
      </c>
      <c r="D186" s="98" t="s">
        <v>266</v>
      </c>
      <c r="E186" s="98" t="s">
        <v>31</v>
      </c>
      <c r="F186" s="99">
        <v>46142</v>
      </c>
      <c r="G186" s="100">
        <v>46142</v>
      </c>
      <c r="H186" s="100">
        <v>46144</v>
      </c>
      <c r="I186" s="100" t="s">
        <v>64</v>
      </c>
      <c r="J186" s="100" t="s">
        <v>39</v>
      </c>
      <c r="K186" s="100" t="s">
        <v>45</v>
      </c>
      <c r="L186" s="98">
        <v>2177</v>
      </c>
      <c r="M186" s="98">
        <v>12</v>
      </c>
      <c r="N186" s="98">
        <v>3</v>
      </c>
      <c r="O186" s="101">
        <v>3.99</v>
      </c>
      <c r="P186" s="101">
        <v>119.42</v>
      </c>
      <c r="Q186" s="101">
        <v>152.89</v>
      </c>
      <c r="R186" s="102">
        <v>29.9298245614035</v>
      </c>
      <c r="S186" s="103">
        <v>0.25</v>
      </c>
      <c r="T186" s="103">
        <v>0.00551217271474506</v>
      </c>
      <c r="U186" s="102">
        <v>0.3325</v>
      </c>
      <c r="V186" s="102">
        <v>1.33</v>
      </c>
      <c r="W186" s="103">
        <v>0.033411488862837</v>
      </c>
      <c r="X186" s="103">
        <v>0.0260971940610897</v>
      </c>
    </row>
    <row r="187" ht="22.5" customHeight="1" spans="1:24">
      <c r="A187" s="97" t="s">
        <v>263</v>
      </c>
      <c r="B187" s="98" t="s">
        <v>83</v>
      </c>
      <c r="C187" s="98" t="s">
        <v>84</v>
      </c>
      <c r="D187" s="98" t="s">
        <v>85</v>
      </c>
      <c r="E187" s="98" t="s">
        <v>63</v>
      </c>
      <c r="F187" s="99">
        <v>46104</v>
      </c>
      <c r="G187" s="100">
        <v>46092</v>
      </c>
      <c r="H187" s="100">
        <v>46104</v>
      </c>
      <c r="I187" s="100" t="s">
        <v>32</v>
      </c>
      <c r="J187" s="100" t="s">
        <v>39</v>
      </c>
      <c r="K187" s="100" t="s">
        <v>34</v>
      </c>
      <c r="L187" s="98">
        <v>584</v>
      </c>
      <c r="M187" s="98">
        <v>11</v>
      </c>
      <c r="N187" s="98">
        <v>3</v>
      </c>
      <c r="O187" s="101">
        <v>3.27</v>
      </c>
      <c r="P187" s="101">
        <v>37.43</v>
      </c>
      <c r="Q187" s="101">
        <v>69.04</v>
      </c>
      <c r="R187" s="102">
        <v>11.4464831804281</v>
      </c>
      <c r="S187" s="103">
        <v>0.272727272727273</v>
      </c>
      <c r="T187" s="103">
        <v>0.0188356164383562</v>
      </c>
      <c r="U187" s="102">
        <v>0.297272727272727</v>
      </c>
      <c r="V187" s="102">
        <v>1.09</v>
      </c>
      <c r="W187" s="103">
        <v>0.0873630777451242</v>
      </c>
      <c r="X187" s="103">
        <v>0.0473638470451912</v>
      </c>
    </row>
    <row r="188" ht="22.5" customHeight="1" spans="1:24">
      <c r="A188" s="97" t="s">
        <v>263</v>
      </c>
      <c r="B188" s="98" t="s">
        <v>148</v>
      </c>
      <c r="C188" s="98" t="s">
        <v>149</v>
      </c>
      <c r="D188" s="98" t="s">
        <v>150</v>
      </c>
      <c r="E188" s="98" t="s">
        <v>80</v>
      </c>
      <c r="F188" s="99">
        <v>46097</v>
      </c>
      <c r="G188" s="100">
        <v>46085</v>
      </c>
      <c r="H188" s="100">
        <v>46100</v>
      </c>
      <c r="I188" s="100" t="s">
        <v>32</v>
      </c>
      <c r="J188" s="100" t="s">
        <v>44</v>
      </c>
      <c r="K188" s="100" t="s">
        <v>34</v>
      </c>
      <c r="L188" s="98">
        <v>426</v>
      </c>
      <c r="M188" s="98">
        <v>7</v>
      </c>
      <c r="N188" s="98">
        <v>2</v>
      </c>
      <c r="O188" s="101">
        <v>2.9</v>
      </c>
      <c r="P188" s="101">
        <v>79.32</v>
      </c>
      <c r="Q188" s="101">
        <v>140.95</v>
      </c>
      <c r="R188" s="102">
        <v>27.351724137931</v>
      </c>
      <c r="S188" s="103">
        <v>0.285714285714286</v>
      </c>
      <c r="T188" s="103">
        <v>0.0164319248826291</v>
      </c>
      <c r="U188" s="102">
        <v>0.414285714285714</v>
      </c>
      <c r="V188" s="102">
        <v>1.45</v>
      </c>
      <c r="W188" s="103">
        <v>0.0365607665153807</v>
      </c>
      <c r="X188" s="103">
        <v>0.0205746718694573</v>
      </c>
    </row>
    <row r="189" ht="22.5" customHeight="1" spans="1:24">
      <c r="A189" s="97" t="s">
        <v>263</v>
      </c>
      <c r="B189" s="98" t="s">
        <v>106</v>
      </c>
      <c r="C189" s="98" t="s">
        <v>107</v>
      </c>
      <c r="D189" s="98" t="s">
        <v>108</v>
      </c>
      <c r="E189" s="98" t="s">
        <v>31</v>
      </c>
      <c r="F189" s="99">
        <v>46094</v>
      </c>
      <c r="G189" s="100">
        <v>46093</v>
      </c>
      <c r="H189" s="100">
        <v>46100</v>
      </c>
      <c r="I189" s="100" t="s">
        <v>32</v>
      </c>
      <c r="J189" s="100" t="s">
        <v>33</v>
      </c>
      <c r="K189" s="100" t="s">
        <v>34</v>
      </c>
      <c r="L189" s="98">
        <v>59</v>
      </c>
      <c r="M189" s="98">
        <v>2</v>
      </c>
      <c r="N189" s="98">
        <v>2</v>
      </c>
      <c r="O189" s="101">
        <v>0.73</v>
      </c>
      <c r="P189" s="101">
        <v>303.19</v>
      </c>
      <c r="Q189" s="101">
        <v>278</v>
      </c>
      <c r="R189" s="102">
        <v>415.328767123288</v>
      </c>
      <c r="S189" s="103">
        <v>1</v>
      </c>
      <c r="T189" s="103">
        <v>0.0338983050847458</v>
      </c>
      <c r="U189" s="102">
        <v>0.365</v>
      </c>
      <c r="V189" s="102">
        <v>0.365</v>
      </c>
      <c r="W189" s="103">
        <v>0.00240773112569676</v>
      </c>
      <c r="X189" s="103">
        <v>0.00262589928057554</v>
      </c>
    </row>
    <row r="190" ht="22.5" customHeight="1" spans="1:24">
      <c r="A190" s="97" t="s">
        <v>263</v>
      </c>
      <c r="B190" s="98" t="s">
        <v>260</v>
      </c>
      <c r="C190" s="98" t="s">
        <v>261</v>
      </c>
      <c r="D190" s="98" t="s">
        <v>262</v>
      </c>
      <c r="E190" s="98" t="s">
        <v>31</v>
      </c>
      <c r="F190" s="99">
        <v>46143</v>
      </c>
      <c r="G190" s="100">
        <v>46141</v>
      </c>
      <c r="H190" s="100">
        <v>46143</v>
      </c>
      <c r="I190" s="100" t="s">
        <v>68</v>
      </c>
      <c r="J190" s="100" t="s">
        <v>92</v>
      </c>
      <c r="K190" s="100" t="s">
        <v>34</v>
      </c>
      <c r="L190" s="98">
        <v>1571</v>
      </c>
      <c r="M190" s="98">
        <v>33</v>
      </c>
      <c r="N190" s="98">
        <v>1</v>
      </c>
      <c r="O190" s="101">
        <v>28.49</v>
      </c>
      <c r="P190" s="101">
        <v>135.31</v>
      </c>
      <c r="Q190" s="101">
        <v>125</v>
      </c>
      <c r="R190" s="102">
        <v>4.74938574938575</v>
      </c>
      <c r="S190" s="103">
        <v>0.0303030303030303</v>
      </c>
      <c r="T190" s="103">
        <v>0.0210057288351369</v>
      </c>
      <c r="U190" s="102">
        <v>0.863333333333333</v>
      </c>
      <c r="V190" s="102">
        <v>28.49</v>
      </c>
      <c r="W190" s="103">
        <v>0.210553543714433</v>
      </c>
      <c r="X190" s="103">
        <v>0.22792</v>
      </c>
    </row>
    <row r="191" ht="22.5" customHeight="1" spans="1:24">
      <c r="A191" s="97" t="s">
        <v>263</v>
      </c>
      <c r="B191" s="98" t="s">
        <v>209</v>
      </c>
      <c r="C191" s="98" t="s">
        <v>210</v>
      </c>
      <c r="D191" s="98" t="s">
        <v>211</v>
      </c>
      <c r="E191" s="98" t="s">
        <v>31</v>
      </c>
      <c r="F191" s="99">
        <v>46137</v>
      </c>
      <c r="G191" s="100">
        <v>46135</v>
      </c>
      <c r="H191" s="100">
        <v>46140</v>
      </c>
      <c r="I191" s="100" t="s">
        <v>51</v>
      </c>
      <c r="J191" s="100" t="s">
        <v>52</v>
      </c>
      <c r="K191" s="100" t="s">
        <v>34</v>
      </c>
      <c r="L191" s="98">
        <v>1964</v>
      </c>
      <c r="M191" s="98">
        <v>17</v>
      </c>
      <c r="N191" s="98">
        <v>1</v>
      </c>
      <c r="O191" s="101">
        <v>9.22</v>
      </c>
      <c r="P191" s="101">
        <v>159</v>
      </c>
      <c r="Q191" s="101">
        <v>450</v>
      </c>
      <c r="R191" s="102">
        <v>17.2451193058568</v>
      </c>
      <c r="S191" s="103">
        <v>0.0588235294117647</v>
      </c>
      <c r="T191" s="103">
        <v>0.00865580448065173</v>
      </c>
      <c r="U191" s="102">
        <v>0.542352941176471</v>
      </c>
      <c r="V191" s="102">
        <v>9.22</v>
      </c>
      <c r="W191" s="103">
        <v>0.0579874213836478</v>
      </c>
      <c r="X191" s="103">
        <v>0.0204888888888889</v>
      </c>
    </row>
    <row r="192" ht="22.5" customHeight="1" spans="1:24">
      <c r="A192" s="97" t="s">
        <v>263</v>
      </c>
      <c r="B192" s="98" t="s">
        <v>69</v>
      </c>
      <c r="C192" s="98" t="s">
        <v>70</v>
      </c>
      <c r="D192" s="98" t="s">
        <v>71</v>
      </c>
      <c r="E192" s="98" t="s">
        <v>31</v>
      </c>
      <c r="F192" s="99">
        <v>46092</v>
      </c>
      <c r="G192" s="100">
        <v>46092</v>
      </c>
      <c r="H192" s="100">
        <v>46095</v>
      </c>
      <c r="I192" s="100" t="s">
        <v>32</v>
      </c>
      <c r="J192" s="100" t="s">
        <v>39</v>
      </c>
      <c r="K192" s="100" t="s">
        <v>34</v>
      </c>
      <c r="L192" s="98">
        <v>2753</v>
      </c>
      <c r="M192" s="98">
        <v>13</v>
      </c>
      <c r="N192" s="98">
        <v>1</v>
      </c>
      <c r="O192" s="101">
        <v>5.38</v>
      </c>
      <c r="P192" s="101">
        <v>123.98</v>
      </c>
      <c r="Q192" s="101">
        <v>228</v>
      </c>
      <c r="R192" s="102">
        <v>23.0446096654275</v>
      </c>
      <c r="S192" s="103">
        <v>0.0769230769230769</v>
      </c>
      <c r="T192" s="103">
        <v>0.00472212132219397</v>
      </c>
      <c r="U192" s="102">
        <v>0.413846153846154</v>
      </c>
      <c r="V192" s="102">
        <v>5.38</v>
      </c>
      <c r="W192" s="103">
        <v>0.0433940958219068</v>
      </c>
      <c r="X192" s="103">
        <v>0.0235964912280702</v>
      </c>
    </row>
    <row r="193" ht="22.5" customHeight="1" spans="1:24">
      <c r="A193" s="97" t="s">
        <v>263</v>
      </c>
      <c r="B193" s="98" t="s">
        <v>196</v>
      </c>
      <c r="C193" s="98" t="s">
        <v>197</v>
      </c>
      <c r="D193" s="98" t="s">
        <v>198</v>
      </c>
      <c r="E193" s="98" t="s">
        <v>31</v>
      </c>
      <c r="F193" s="99">
        <v>46136</v>
      </c>
      <c r="G193" s="100">
        <v>46135</v>
      </c>
      <c r="H193" s="100">
        <v>46139</v>
      </c>
      <c r="I193" s="100" t="s">
        <v>32</v>
      </c>
      <c r="J193" s="100" t="s">
        <v>216</v>
      </c>
      <c r="K193" s="100" t="s">
        <v>34</v>
      </c>
      <c r="L193" s="98">
        <v>527</v>
      </c>
      <c r="M193" s="98">
        <v>6</v>
      </c>
      <c r="N193" s="98">
        <v>1</v>
      </c>
      <c r="O193" s="101">
        <v>2.32</v>
      </c>
      <c r="P193" s="101">
        <v>48.71</v>
      </c>
      <c r="Q193" s="101">
        <v>45</v>
      </c>
      <c r="R193" s="102">
        <v>20.9956896551724</v>
      </c>
      <c r="S193" s="103">
        <v>0.166666666666667</v>
      </c>
      <c r="T193" s="103">
        <v>0.0113851992409867</v>
      </c>
      <c r="U193" s="102">
        <v>0.386666666666667</v>
      </c>
      <c r="V193" s="102">
        <v>2.32</v>
      </c>
      <c r="W193" s="103">
        <v>0.0476288236501745</v>
      </c>
      <c r="X193" s="103">
        <v>0.0515555555555555</v>
      </c>
    </row>
    <row r="194" ht="22.5" customHeight="1" spans="1:24">
      <c r="A194" s="97" t="s">
        <v>263</v>
      </c>
      <c r="B194" s="98" t="s">
        <v>243</v>
      </c>
      <c r="C194" s="98" t="s">
        <v>246</v>
      </c>
      <c r="D194" s="98" t="s">
        <v>247</v>
      </c>
      <c r="E194" s="98" t="s">
        <v>31</v>
      </c>
      <c r="F194" s="99">
        <v>46142</v>
      </c>
      <c r="G194" s="100">
        <v>46135</v>
      </c>
      <c r="H194" s="100">
        <v>46142</v>
      </c>
      <c r="I194" s="100" t="s">
        <v>32</v>
      </c>
      <c r="J194" s="100" t="s">
        <v>52</v>
      </c>
      <c r="K194" s="100" t="s">
        <v>34</v>
      </c>
      <c r="L194" s="98">
        <v>776</v>
      </c>
      <c r="M194" s="98">
        <v>4</v>
      </c>
      <c r="N194" s="98">
        <v>1</v>
      </c>
      <c r="O194" s="101">
        <v>1.84</v>
      </c>
      <c r="P194" s="101">
        <v>161.06</v>
      </c>
      <c r="Q194" s="101">
        <v>750</v>
      </c>
      <c r="R194" s="102">
        <v>87.5326086956522</v>
      </c>
      <c r="S194" s="103">
        <v>0.25</v>
      </c>
      <c r="T194" s="103">
        <v>0.00515463917525773</v>
      </c>
      <c r="U194" s="102">
        <v>0.46</v>
      </c>
      <c r="V194" s="102">
        <v>1.84</v>
      </c>
      <c r="W194" s="103">
        <v>0.0114243139202782</v>
      </c>
      <c r="X194" s="103">
        <v>0.00245333333333333</v>
      </c>
    </row>
    <row r="195" ht="22.5" customHeight="1" spans="1:24">
      <c r="A195" s="97" t="s">
        <v>263</v>
      </c>
      <c r="B195" s="98" t="s">
        <v>126</v>
      </c>
      <c r="C195" s="98" t="s">
        <v>118</v>
      </c>
      <c r="D195" s="98" t="s">
        <v>127</v>
      </c>
      <c r="E195" s="98" t="s">
        <v>31</v>
      </c>
      <c r="F195" s="99">
        <v>46104</v>
      </c>
      <c r="G195" s="100">
        <v>46104</v>
      </c>
      <c r="H195" s="100">
        <v>46134</v>
      </c>
      <c r="I195" s="100" t="s">
        <v>32</v>
      </c>
      <c r="J195" s="100" t="s">
        <v>97</v>
      </c>
      <c r="K195" s="100" t="s">
        <v>34</v>
      </c>
      <c r="L195" s="98">
        <v>198</v>
      </c>
      <c r="M195" s="98">
        <v>4</v>
      </c>
      <c r="N195" s="98">
        <v>1</v>
      </c>
      <c r="O195" s="101">
        <v>2.76</v>
      </c>
      <c r="P195" s="101">
        <v>129</v>
      </c>
      <c r="Q195" s="101">
        <v>258</v>
      </c>
      <c r="R195" s="102">
        <v>46.7391304347826</v>
      </c>
      <c r="S195" s="103">
        <v>0.25</v>
      </c>
      <c r="T195" s="103">
        <v>0.0202020202020202</v>
      </c>
      <c r="U195" s="102">
        <v>0.69</v>
      </c>
      <c r="V195" s="102">
        <v>2.76</v>
      </c>
      <c r="W195" s="103">
        <v>0.0213953488372093</v>
      </c>
      <c r="X195" s="103">
        <v>0.0106976744186046</v>
      </c>
    </row>
    <row r="196" ht="22.5" customHeight="1" spans="1:24">
      <c r="A196" s="97" t="s">
        <v>263</v>
      </c>
      <c r="B196" s="98" t="s">
        <v>138</v>
      </c>
      <c r="C196" s="98" t="s">
        <v>136</v>
      </c>
      <c r="D196" s="98" t="s">
        <v>156</v>
      </c>
      <c r="E196" s="98" t="s">
        <v>31</v>
      </c>
      <c r="F196" s="99">
        <v>46092</v>
      </c>
      <c r="G196" s="100">
        <v>46091</v>
      </c>
      <c r="H196" s="100">
        <v>46106</v>
      </c>
      <c r="I196" s="100" t="s">
        <v>32</v>
      </c>
      <c r="J196" s="100" t="s">
        <v>39</v>
      </c>
      <c r="K196" s="100" t="s">
        <v>34</v>
      </c>
      <c r="L196" s="98">
        <v>598</v>
      </c>
      <c r="M196" s="98">
        <v>1</v>
      </c>
      <c r="N196" s="98">
        <v>1</v>
      </c>
      <c r="O196" s="101">
        <v>0.37</v>
      </c>
      <c r="P196" s="101">
        <v>40.23</v>
      </c>
      <c r="Q196" s="101">
        <v>38</v>
      </c>
      <c r="R196" s="102">
        <v>108.72972972973</v>
      </c>
      <c r="S196" s="103">
        <v>1</v>
      </c>
      <c r="T196" s="103">
        <v>0.00167224080267559</v>
      </c>
      <c r="U196" s="102">
        <v>0.37</v>
      </c>
      <c r="V196" s="102">
        <v>0.37</v>
      </c>
      <c r="W196" s="103">
        <v>0.00919711657966692</v>
      </c>
      <c r="X196" s="103">
        <v>0.00973684210526316</v>
      </c>
    </row>
    <row r="197" ht="22.5" customHeight="1" spans="1:24">
      <c r="A197" s="97" t="s">
        <v>263</v>
      </c>
      <c r="B197" s="98" t="s">
        <v>233</v>
      </c>
      <c r="C197" s="98" t="s">
        <v>234</v>
      </c>
      <c r="D197" s="98" t="s">
        <v>235</v>
      </c>
      <c r="E197" s="98" t="s">
        <v>31</v>
      </c>
      <c r="F197" s="99">
        <v>46142</v>
      </c>
      <c r="G197" s="100">
        <v>46141</v>
      </c>
      <c r="H197" s="100">
        <v>46142</v>
      </c>
      <c r="I197" s="100" t="s">
        <v>96</v>
      </c>
      <c r="J197" s="100" t="s">
        <v>33</v>
      </c>
      <c r="K197" s="100" t="s">
        <v>34</v>
      </c>
      <c r="L197" s="98">
        <v>1</v>
      </c>
      <c r="M197" s="98">
        <v>1</v>
      </c>
      <c r="N197" s="98">
        <v>1</v>
      </c>
      <c r="O197" s="101">
        <v>0.35</v>
      </c>
      <c r="P197" s="101">
        <v>75.6</v>
      </c>
      <c r="Q197" s="101">
        <v>140</v>
      </c>
      <c r="R197" s="102">
        <v>216</v>
      </c>
      <c r="S197" s="103">
        <v>1</v>
      </c>
      <c r="T197" s="103">
        <v>1</v>
      </c>
      <c r="U197" s="102">
        <v>0.35</v>
      </c>
      <c r="V197" s="102">
        <v>0.35</v>
      </c>
      <c r="W197" s="103">
        <v>0.00462962962962963</v>
      </c>
      <c r="X197" s="103">
        <v>0.0025</v>
      </c>
    </row>
    <row r="198" ht="22.5" customHeight="1" spans="1:24">
      <c r="A198" s="97" t="s">
        <v>263</v>
      </c>
      <c r="B198" s="98" t="s">
        <v>200</v>
      </c>
      <c r="C198" s="98" t="s">
        <v>201</v>
      </c>
      <c r="D198" s="98" t="s">
        <v>202</v>
      </c>
      <c r="E198" s="98" t="s">
        <v>31</v>
      </c>
      <c r="F198" s="99">
        <v>46136</v>
      </c>
      <c r="G198" s="100">
        <v>46135</v>
      </c>
      <c r="H198" s="100">
        <v>46135</v>
      </c>
      <c r="I198" s="100" t="s">
        <v>59</v>
      </c>
      <c r="J198" s="100" t="s">
        <v>92</v>
      </c>
      <c r="K198" s="100" t="s">
        <v>34</v>
      </c>
      <c r="L198" s="98">
        <v>32735</v>
      </c>
      <c r="M198" s="98">
        <v>67</v>
      </c>
      <c r="N198" s="98">
        <v>0</v>
      </c>
      <c r="O198" s="101">
        <v>64.17</v>
      </c>
      <c r="P198" s="101">
        <v>0</v>
      </c>
      <c r="Q198" s="101">
        <v>0</v>
      </c>
      <c r="R198" s="102">
        <v>0</v>
      </c>
      <c r="S198" s="103">
        <v>0</v>
      </c>
      <c r="T198" s="103">
        <v>0.00204673896441118</v>
      </c>
      <c r="U198" s="102">
        <v>0.957761194029851</v>
      </c>
      <c r="V198" s="102" t="e">
        <v>#DIV/0!</v>
      </c>
      <c r="W198" s="103" t="e">
        <v>#DIV/0!</v>
      </c>
      <c r="X198" s="103" t="e">
        <v>#DIV/0!</v>
      </c>
    </row>
    <row r="199" ht="22.5" customHeight="1" spans="1:24">
      <c r="A199" s="97" t="s">
        <v>263</v>
      </c>
      <c r="B199" s="98" t="s">
        <v>218</v>
      </c>
      <c r="C199" s="98" t="s">
        <v>219</v>
      </c>
      <c r="D199" s="98" t="s">
        <v>220</v>
      </c>
      <c r="E199" s="98" t="s">
        <v>63</v>
      </c>
      <c r="F199" s="99">
        <v>46140</v>
      </c>
      <c r="G199" s="100">
        <v>46108</v>
      </c>
      <c r="H199" s="100" t="s">
        <v>120</v>
      </c>
      <c r="I199" s="100" t="s">
        <v>59</v>
      </c>
      <c r="J199" s="100" t="s">
        <v>44</v>
      </c>
      <c r="K199" s="100" t="s">
        <v>45</v>
      </c>
      <c r="L199" s="98">
        <v>31487</v>
      </c>
      <c r="M199" s="98">
        <v>39</v>
      </c>
      <c r="N199" s="98">
        <v>0</v>
      </c>
      <c r="O199" s="101">
        <v>27.74</v>
      </c>
      <c r="P199" s="101">
        <v>0</v>
      </c>
      <c r="Q199" s="101">
        <v>0</v>
      </c>
      <c r="R199" s="102">
        <v>0</v>
      </c>
      <c r="S199" s="103">
        <v>0</v>
      </c>
      <c r="T199" s="103">
        <v>0.00123860640899419</v>
      </c>
      <c r="U199" s="102">
        <v>0.711282051282051</v>
      </c>
      <c r="V199" s="102" t="e">
        <v>#DIV/0!</v>
      </c>
      <c r="W199" s="103" t="e">
        <v>#DIV/0!</v>
      </c>
      <c r="X199" s="103" t="e">
        <v>#DIV/0!</v>
      </c>
    </row>
    <row r="200" ht="22.5" customHeight="1" spans="1:24">
      <c r="A200" s="97" t="s">
        <v>263</v>
      </c>
      <c r="B200" s="98" t="s">
        <v>187</v>
      </c>
      <c r="C200" s="98" t="s">
        <v>194</v>
      </c>
      <c r="D200" s="98" t="s">
        <v>195</v>
      </c>
      <c r="E200" s="98" t="s">
        <v>63</v>
      </c>
      <c r="F200" s="99">
        <v>46135</v>
      </c>
      <c r="G200" s="100">
        <v>46104</v>
      </c>
      <c r="H200" s="100" t="s">
        <v>120</v>
      </c>
      <c r="I200" s="100" t="s">
        <v>51</v>
      </c>
      <c r="J200" s="100" t="s">
        <v>44</v>
      </c>
      <c r="K200" s="100" t="s">
        <v>34</v>
      </c>
      <c r="L200" s="98">
        <v>31421</v>
      </c>
      <c r="M200" s="98">
        <v>23</v>
      </c>
      <c r="N200" s="98">
        <v>0</v>
      </c>
      <c r="O200" s="101">
        <v>22.65</v>
      </c>
      <c r="P200" s="101">
        <v>0</v>
      </c>
      <c r="Q200" s="101">
        <v>0</v>
      </c>
      <c r="R200" s="102">
        <v>0</v>
      </c>
      <c r="S200" s="103">
        <v>0</v>
      </c>
      <c r="T200" s="103">
        <v>0.00073199452595398</v>
      </c>
      <c r="U200" s="102">
        <v>0.984782608695652</v>
      </c>
      <c r="V200" s="102" t="e">
        <v>#DIV/0!</v>
      </c>
      <c r="W200" s="103" t="e">
        <v>#DIV/0!</v>
      </c>
      <c r="X200" s="103" t="e">
        <v>#DIV/0!</v>
      </c>
    </row>
    <row r="201" ht="22.5" customHeight="1" spans="1:24">
      <c r="A201" s="97" t="s">
        <v>263</v>
      </c>
      <c r="B201" s="98" t="s">
        <v>224</v>
      </c>
      <c r="C201" s="98" t="s">
        <v>225</v>
      </c>
      <c r="D201" s="98" t="s">
        <v>226</v>
      </c>
      <c r="E201" s="98" t="s">
        <v>63</v>
      </c>
      <c r="F201" s="99">
        <v>46141</v>
      </c>
      <c r="G201" s="100">
        <v>46097</v>
      </c>
      <c r="H201" s="100">
        <v>46104</v>
      </c>
      <c r="I201" s="100" t="s">
        <v>51</v>
      </c>
      <c r="J201" s="100" t="s">
        <v>52</v>
      </c>
      <c r="K201" s="100" t="s">
        <v>34</v>
      </c>
      <c r="L201" s="98">
        <v>219</v>
      </c>
      <c r="M201" s="98">
        <v>17</v>
      </c>
      <c r="N201" s="98">
        <v>0</v>
      </c>
      <c r="O201" s="101">
        <v>7.88</v>
      </c>
      <c r="P201" s="101">
        <v>0</v>
      </c>
      <c r="Q201" s="101">
        <v>95</v>
      </c>
      <c r="R201" s="102">
        <v>0</v>
      </c>
      <c r="S201" s="103">
        <v>0</v>
      </c>
      <c r="T201" s="103">
        <v>0.0776255707762557</v>
      </c>
      <c r="U201" s="102">
        <v>0.463529411764706</v>
      </c>
      <c r="V201" s="102" t="e">
        <v>#DIV/0!</v>
      </c>
      <c r="W201" s="103" t="e">
        <v>#DIV/0!</v>
      </c>
      <c r="X201" s="103">
        <v>0.0829473684210526</v>
      </c>
    </row>
    <row r="202" ht="22.5" customHeight="1" spans="1:24">
      <c r="A202" s="97" t="s">
        <v>263</v>
      </c>
      <c r="B202" s="98" t="s">
        <v>257</v>
      </c>
      <c r="C202" s="98" t="s">
        <v>258</v>
      </c>
      <c r="D202" s="98" t="s">
        <v>259</v>
      </c>
      <c r="E202" s="98" t="s">
        <v>31</v>
      </c>
      <c r="F202" s="99">
        <v>46143</v>
      </c>
      <c r="G202" s="100">
        <v>46141</v>
      </c>
      <c r="H202" s="100" t="s">
        <v>120</v>
      </c>
      <c r="I202" s="100" t="s">
        <v>68</v>
      </c>
      <c r="J202" s="100" t="s">
        <v>92</v>
      </c>
      <c r="K202" s="100" t="s">
        <v>34</v>
      </c>
      <c r="L202" s="98">
        <v>1398</v>
      </c>
      <c r="M202" s="98">
        <v>15</v>
      </c>
      <c r="N202" s="98">
        <v>0</v>
      </c>
      <c r="O202" s="101">
        <v>10.68</v>
      </c>
      <c r="P202" s="101">
        <v>0</v>
      </c>
      <c r="Q202" s="101">
        <v>0</v>
      </c>
      <c r="R202" s="102">
        <v>0</v>
      </c>
      <c r="S202" s="103">
        <v>0</v>
      </c>
      <c r="T202" s="103">
        <v>0.0107296137339056</v>
      </c>
      <c r="U202" s="102">
        <v>0.712</v>
      </c>
      <c r="V202" s="102" t="e">
        <v>#DIV/0!</v>
      </c>
      <c r="W202" s="103" t="e">
        <v>#DIV/0!</v>
      </c>
      <c r="X202" s="103" t="e">
        <v>#DIV/0!</v>
      </c>
    </row>
    <row r="203" ht="22.5" customHeight="1" spans="1:24">
      <c r="A203" s="97" t="s">
        <v>263</v>
      </c>
      <c r="B203" s="98" t="s">
        <v>267</v>
      </c>
      <c r="C203" s="98" t="s">
        <v>268</v>
      </c>
      <c r="D203" s="98" t="s">
        <v>269</v>
      </c>
      <c r="E203" s="98" t="s">
        <v>31</v>
      </c>
      <c r="F203" s="99">
        <v>46143</v>
      </c>
      <c r="G203" s="100">
        <v>46142</v>
      </c>
      <c r="H203" s="100">
        <v>46146</v>
      </c>
      <c r="I203" s="100" t="s">
        <v>68</v>
      </c>
      <c r="J203" s="100" t="s">
        <v>92</v>
      </c>
      <c r="K203" s="100" t="s">
        <v>34</v>
      </c>
      <c r="L203" s="98">
        <v>319</v>
      </c>
      <c r="M203" s="98">
        <v>15</v>
      </c>
      <c r="N203" s="98">
        <v>0</v>
      </c>
      <c r="O203" s="101">
        <v>7.14</v>
      </c>
      <c r="P203" s="101">
        <v>0</v>
      </c>
      <c r="Q203" s="101">
        <v>35</v>
      </c>
      <c r="R203" s="102">
        <v>0</v>
      </c>
      <c r="S203" s="103">
        <v>0</v>
      </c>
      <c r="T203" s="103">
        <v>0.0470219435736677</v>
      </c>
      <c r="U203" s="102">
        <v>0.476</v>
      </c>
      <c r="V203" s="102" t="e">
        <v>#DIV/0!</v>
      </c>
      <c r="W203" s="103" t="e">
        <v>#DIV/0!</v>
      </c>
      <c r="X203" s="103">
        <v>0.204</v>
      </c>
    </row>
    <row r="204" ht="22.5" customHeight="1" spans="1:24">
      <c r="A204" s="97" t="s">
        <v>263</v>
      </c>
      <c r="B204" s="98" t="s">
        <v>128</v>
      </c>
      <c r="C204" s="98" t="s">
        <v>129</v>
      </c>
      <c r="D204" s="98" t="s">
        <v>130</v>
      </c>
      <c r="E204" s="98" t="s">
        <v>63</v>
      </c>
      <c r="F204" s="99">
        <v>46123</v>
      </c>
      <c r="G204" s="100">
        <v>46092</v>
      </c>
      <c r="H204" s="100">
        <v>46096</v>
      </c>
      <c r="I204" s="100" t="s">
        <v>59</v>
      </c>
      <c r="J204" s="100" t="s">
        <v>44</v>
      </c>
      <c r="K204" s="100" t="s">
        <v>34</v>
      </c>
      <c r="L204" s="98">
        <v>228</v>
      </c>
      <c r="M204" s="98">
        <v>12</v>
      </c>
      <c r="N204" s="98">
        <v>0</v>
      </c>
      <c r="O204" s="101">
        <v>6.81</v>
      </c>
      <c r="P204" s="101">
        <v>0</v>
      </c>
      <c r="Q204" s="101">
        <v>478</v>
      </c>
      <c r="R204" s="102">
        <v>0</v>
      </c>
      <c r="S204" s="103">
        <v>0</v>
      </c>
      <c r="T204" s="103">
        <v>0.0526315789473684</v>
      </c>
      <c r="U204" s="102">
        <v>0.5675</v>
      </c>
      <c r="V204" s="102" t="e">
        <v>#DIV/0!</v>
      </c>
      <c r="W204" s="103" t="e">
        <v>#DIV/0!</v>
      </c>
      <c r="X204" s="103">
        <v>0.0142468619246862</v>
      </c>
    </row>
    <row r="205" ht="22.5" customHeight="1" spans="1:24">
      <c r="A205" s="97" t="s">
        <v>263</v>
      </c>
      <c r="B205" s="98" t="s">
        <v>212</v>
      </c>
      <c r="C205" s="98" t="s">
        <v>213</v>
      </c>
      <c r="D205" s="98" t="s">
        <v>214</v>
      </c>
      <c r="E205" s="98" t="s">
        <v>31</v>
      </c>
      <c r="F205" s="99">
        <v>46137</v>
      </c>
      <c r="G205" s="100">
        <v>46135</v>
      </c>
      <c r="H205" s="100" t="s">
        <v>120</v>
      </c>
      <c r="I205" s="100" t="s">
        <v>51</v>
      </c>
      <c r="J205" s="100" t="s">
        <v>52</v>
      </c>
      <c r="K205" s="100" t="s">
        <v>34</v>
      </c>
      <c r="L205" s="98">
        <v>893</v>
      </c>
      <c r="M205" s="98">
        <v>8</v>
      </c>
      <c r="N205" s="98">
        <v>0</v>
      </c>
      <c r="O205" s="101">
        <v>7.89</v>
      </c>
      <c r="P205" s="101">
        <v>0</v>
      </c>
      <c r="Q205" s="101">
        <v>0</v>
      </c>
      <c r="R205" s="102">
        <v>0</v>
      </c>
      <c r="S205" s="103">
        <v>0</v>
      </c>
      <c r="T205" s="103">
        <v>0.00895856662933931</v>
      </c>
      <c r="U205" s="102">
        <v>0.98625</v>
      </c>
      <c r="V205" s="102" t="e">
        <v>#DIV/0!</v>
      </c>
      <c r="W205" s="103" t="e">
        <v>#DIV/0!</v>
      </c>
      <c r="X205" s="103" t="e">
        <v>#DIV/0!</v>
      </c>
    </row>
    <row r="206" ht="22.5" customHeight="1" spans="1:24">
      <c r="A206" s="97" t="s">
        <v>263</v>
      </c>
      <c r="B206" s="98" t="s">
        <v>203</v>
      </c>
      <c r="C206" s="98" t="s">
        <v>204</v>
      </c>
      <c r="D206" s="98" t="s">
        <v>205</v>
      </c>
      <c r="E206" s="98" t="s">
        <v>31</v>
      </c>
      <c r="F206" s="99">
        <v>46136</v>
      </c>
      <c r="G206" s="100">
        <v>46135</v>
      </c>
      <c r="H206" s="100" t="s">
        <v>120</v>
      </c>
      <c r="I206" s="100" t="s">
        <v>96</v>
      </c>
      <c r="J206" s="100" t="s">
        <v>97</v>
      </c>
      <c r="K206" s="100" t="s">
        <v>34</v>
      </c>
      <c r="L206" s="98">
        <v>982</v>
      </c>
      <c r="M206" s="98">
        <v>7</v>
      </c>
      <c r="N206" s="98">
        <v>0</v>
      </c>
      <c r="O206" s="101">
        <v>5.4</v>
      </c>
      <c r="P206" s="101">
        <v>0</v>
      </c>
      <c r="Q206" s="101">
        <v>0</v>
      </c>
      <c r="R206" s="102">
        <v>0</v>
      </c>
      <c r="S206" s="103">
        <v>0</v>
      </c>
      <c r="T206" s="103">
        <v>0.00712830957230143</v>
      </c>
      <c r="U206" s="102">
        <v>0.771428571428571</v>
      </c>
      <c r="V206" s="102" t="e">
        <v>#DIV/0!</v>
      </c>
      <c r="W206" s="103" t="e">
        <v>#DIV/0!</v>
      </c>
      <c r="X206" s="103" t="e">
        <v>#DIV/0!</v>
      </c>
    </row>
    <row r="207" ht="22.5" customHeight="1" spans="1:24">
      <c r="A207" s="97" t="s">
        <v>263</v>
      </c>
      <c r="B207" s="98" t="s">
        <v>206</v>
      </c>
      <c r="C207" s="98" t="s">
        <v>207</v>
      </c>
      <c r="D207" s="98" t="s">
        <v>208</v>
      </c>
      <c r="E207" s="98" t="s">
        <v>31</v>
      </c>
      <c r="F207" s="99">
        <v>46137</v>
      </c>
      <c r="G207" s="100">
        <v>46135</v>
      </c>
      <c r="H207" s="100" t="s">
        <v>120</v>
      </c>
      <c r="I207" s="100" t="s">
        <v>51</v>
      </c>
      <c r="J207" s="100" t="s">
        <v>52</v>
      </c>
      <c r="K207" s="100" t="s">
        <v>34</v>
      </c>
      <c r="L207" s="98">
        <v>1639</v>
      </c>
      <c r="M207" s="98">
        <v>6</v>
      </c>
      <c r="N207" s="98">
        <v>0</v>
      </c>
      <c r="O207" s="101">
        <v>4.21</v>
      </c>
      <c r="P207" s="101">
        <v>0</v>
      </c>
      <c r="Q207" s="101">
        <v>0</v>
      </c>
      <c r="R207" s="102">
        <v>0</v>
      </c>
      <c r="S207" s="103">
        <v>0</v>
      </c>
      <c r="T207" s="103">
        <v>0.0036607687614399</v>
      </c>
      <c r="U207" s="102">
        <v>0.701666666666667</v>
      </c>
      <c r="V207" s="102" t="e">
        <v>#DIV/0!</v>
      </c>
      <c r="W207" s="103" t="e">
        <v>#DIV/0!</v>
      </c>
      <c r="X207" s="103" t="e">
        <v>#DIV/0!</v>
      </c>
    </row>
    <row r="208" ht="22.5" customHeight="1" spans="1:24">
      <c r="A208" s="97" t="s">
        <v>263</v>
      </c>
      <c r="B208" s="98" t="s">
        <v>53</v>
      </c>
      <c r="C208" s="98" t="s">
        <v>54</v>
      </c>
      <c r="D208" s="98" t="s">
        <v>55</v>
      </c>
      <c r="E208" s="98" t="s">
        <v>31</v>
      </c>
      <c r="F208" s="99">
        <v>46109</v>
      </c>
      <c r="G208" s="100">
        <v>46108</v>
      </c>
      <c r="H208" s="100">
        <v>46116</v>
      </c>
      <c r="I208" s="100" t="s">
        <v>32</v>
      </c>
      <c r="J208" s="100" t="s">
        <v>39</v>
      </c>
      <c r="K208" s="100" t="s">
        <v>45</v>
      </c>
      <c r="L208" s="98">
        <v>701</v>
      </c>
      <c r="M208" s="98">
        <v>6</v>
      </c>
      <c r="N208" s="98">
        <v>0</v>
      </c>
      <c r="O208" s="101">
        <v>2.45</v>
      </c>
      <c r="P208" s="101">
        <v>0</v>
      </c>
      <c r="Q208" s="101">
        <v>171</v>
      </c>
      <c r="R208" s="102">
        <v>0</v>
      </c>
      <c r="S208" s="103">
        <v>0</v>
      </c>
      <c r="T208" s="103">
        <v>0.00855920114122682</v>
      </c>
      <c r="U208" s="102">
        <v>0.408333333333333</v>
      </c>
      <c r="V208" s="102" t="e">
        <v>#DIV/0!</v>
      </c>
      <c r="W208" s="103" t="e">
        <v>#DIV/0!</v>
      </c>
      <c r="X208" s="103">
        <v>0.014327485380117</v>
      </c>
    </row>
    <row r="209" ht="22.5" customHeight="1" spans="1:24">
      <c r="A209" s="97" t="s">
        <v>263</v>
      </c>
      <c r="B209" s="98" t="s">
        <v>167</v>
      </c>
      <c r="C209" s="98" t="s">
        <v>149</v>
      </c>
      <c r="D209" s="98" t="s">
        <v>168</v>
      </c>
      <c r="E209" s="98" t="s">
        <v>38</v>
      </c>
      <c r="F209" s="99">
        <v>46097</v>
      </c>
      <c r="G209" s="100">
        <v>46085</v>
      </c>
      <c r="H209" s="100">
        <v>46100</v>
      </c>
      <c r="I209" s="100" t="s">
        <v>32</v>
      </c>
      <c r="J209" s="100" t="s">
        <v>44</v>
      </c>
      <c r="K209" s="100" t="s">
        <v>34</v>
      </c>
      <c r="L209" s="98">
        <v>450</v>
      </c>
      <c r="M209" s="98">
        <v>5</v>
      </c>
      <c r="N209" s="98">
        <v>0</v>
      </c>
      <c r="O209" s="101">
        <v>2.05</v>
      </c>
      <c r="P209" s="101">
        <v>0</v>
      </c>
      <c r="Q209" s="101">
        <v>140.95</v>
      </c>
      <c r="R209" s="102">
        <v>0</v>
      </c>
      <c r="S209" s="103">
        <v>0</v>
      </c>
      <c r="T209" s="103">
        <v>0.0111111111111111</v>
      </c>
      <c r="U209" s="102">
        <v>0.41</v>
      </c>
      <c r="V209" s="102" t="e">
        <v>#DIV/0!</v>
      </c>
      <c r="W209" s="103" t="e">
        <v>#DIV/0!</v>
      </c>
      <c r="X209" s="103">
        <v>0.014544164597375</v>
      </c>
    </row>
    <row r="210" ht="22.5" customHeight="1" spans="1:24">
      <c r="A210" s="97" t="s">
        <v>263</v>
      </c>
      <c r="B210" s="98" t="s">
        <v>270</v>
      </c>
      <c r="C210" s="98" t="s">
        <v>271</v>
      </c>
      <c r="D210" s="98" t="s">
        <v>272</v>
      </c>
      <c r="E210" s="98" t="s">
        <v>31</v>
      </c>
      <c r="F210" s="99">
        <v>46143</v>
      </c>
      <c r="G210" s="100">
        <v>46142</v>
      </c>
      <c r="H210" s="100" t="s">
        <v>120</v>
      </c>
      <c r="I210" s="100" t="s">
        <v>68</v>
      </c>
      <c r="J210" s="100" t="s">
        <v>92</v>
      </c>
      <c r="K210" s="100" t="s">
        <v>34</v>
      </c>
      <c r="L210" s="98">
        <v>302</v>
      </c>
      <c r="M210" s="98">
        <v>5</v>
      </c>
      <c r="N210" s="98">
        <v>0</v>
      </c>
      <c r="O210" s="101">
        <v>2.3</v>
      </c>
      <c r="P210" s="101">
        <v>0</v>
      </c>
      <c r="Q210" s="101">
        <v>0</v>
      </c>
      <c r="R210" s="102">
        <v>0</v>
      </c>
      <c r="S210" s="103">
        <v>0</v>
      </c>
      <c r="T210" s="103">
        <v>0.0165562913907285</v>
      </c>
      <c r="U210" s="102">
        <v>0.46</v>
      </c>
      <c r="V210" s="102" t="e">
        <v>#DIV/0!</v>
      </c>
      <c r="W210" s="103" t="e">
        <v>#DIV/0!</v>
      </c>
      <c r="X210" s="103" t="e">
        <v>#DIV/0!</v>
      </c>
    </row>
    <row r="211" ht="22.5" customHeight="1" spans="1:24">
      <c r="A211" s="97" t="s">
        <v>263</v>
      </c>
      <c r="B211" s="98" t="s">
        <v>72</v>
      </c>
      <c r="C211" s="98" t="s">
        <v>49</v>
      </c>
      <c r="D211" s="98" t="s">
        <v>73</v>
      </c>
      <c r="E211" s="98" t="s">
        <v>63</v>
      </c>
      <c r="F211" s="99">
        <v>46095</v>
      </c>
      <c r="G211" s="100">
        <v>46085</v>
      </c>
      <c r="H211" s="100">
        <v>46086</v>
      </c>
      <c r="I211" s="100" t="s">
        <v>51</v>
      </c>
      <c r="J211" s="100" t="s">
        <v>52</v>
      </c>
      <c r="K211" s="100" t="s">
        <v>34</v>
      </c>
      <c r="L211" s="98">
        <v>115</v>
      </c>
      <c r="M211" s="98">
        <v>5</v>
      </c>
      <c r="N211" s="98">
        <v>0</v>
      </c>
      <c r="O211" s="101">
        <v>2.11</v>
      </c>
      <c r="P211" s="101">
        <v>0</v>
      </c>
      <c r="Q211" s="101">
        <v>833.5</v>
      </c>
      <c r="R211" s="102">
        <v>0</v>
      </c>
      <c r="S211" s="103">
        <v>0</v>
      </c>
      <c r="T211" s="103">
        <v>0.0434782608695652</v>
      </c>
      <c r="U211" s="102">
        <v>0.422</v>
      </c>
      <c r="V211" s="102" t="e">
        <v>#DIV/0!</v>
      </c>
      <c r="W211" s="103" t="e">
        <v>#DIV/0!</v>
      </c>
      <c r="X211" s="103">
        <v>0.00253149370125975</v>
      </c>
    </row>
    <row r="212" ht="22.5" customHeight="1" spans="1:24">
      <c r="A212" s="97" t="s">
        <v>263</v>
      </c>
      <c r="B212" s="98" t="s">
        <v>243</v>
      </c>
      <c r="C212" s="98" t="s">
        <v>244</v>
      </c>
      <c r="D212" s="98" t="s">
        <v>245</v>
      </c>
      <c r="E212" s="98" t="s">
        <v>31</v>
      </c>
      <c r="F212" s="99">
        <v>46142</v>
      </c>
      <c r="G212" s="100">
        <v>46141</v>
      </c>
      <c r="H212" s="100" t="s">
        <v>120</v>
      </c>
      <c r="I212" s="100" t="s">
        <v>32</v>
      </c>
      <c r="J212" s="100" t="s">
        <v>52</v>
      </c>
      <c r="K212" s="100" t="s">
        <v>34</v>
      </c>
      <c r="L212" s="98">
        <v>76</v>
      </c>
      <c r="M212" s="98">
        <v>5</v>
      </c>
      <c r="N212" s="98">
        <v>0</v>
      </c>
      <c r="O212" s="101">
        <v>2.21</v>
      </c>
      <c r="P212" s="101">
        <v>0</v>
      </c>
      <c r="Q212" s="101">
        <v>0</v>
      </c>
      <c r="R212" s="102">
        <v>0</v>
      </c>
      <c r="S212" s="103">
        <v>0</v>
      </c>
      <c r="T212" s="103">
        <v>0.0657894736842105</v>
      </c>
      <c r="U212" s="102">
        <v>0.442</v>
      </c>
      <c r="V212" s="102" t="e">
        <v>#DIV/0!</v>
      </c>
      <c r="W212" s="103" t="e">
        <v>#DIV/0!</v>
      </c>
      <c r="X212" s="103" t="e">
        <v>#DIV/0!</v>
      </c>
    </row>
    <row r="213" ht="22.5" customHeight="1" spans="1:24">
      <c r="A213" s="97" t="s">
        <v>263</v>
      </c>
      <c r="B213" s="98" t="s">
        <v>146</v>
      </c>
      <c r="C213" s="98" t="s">
        <v>122</v>
      </c>
      <c r="D213" s="98" t="s">
        <v>147</v>
      </c>
      <c r="E213" s="98" t="s">
        <v>31</v>
      </c>
      <c r="F213" s="99">
        <v>46098</v>
      </c>
      <c r="G213" s="100">
        <v>46097</v>
      </c>
      <c r="H213" s="100">
        <v>46103</v>
      </c>
      <c r="I213" s="100" t="s">
        <v>51</v>
      </c>
      <c r="J213" s="100" t="s">
        <v>44</v>
      </c>
      <c r="K213" s="100" t="s">
        <v>34</v>
      </c>
      <c r="L213" s="98">
        <v>55</v>
      </c>
      <c r="M213" s="98">
        <v>5</v>
      </c>
      <c r="N213" s="98">
        <v>0</v>
      </c>
      <c r="O213" s="101">
        <v>1.94</v>
      </c>
      <c r="P213" s="101">
        <v>0</v>
      </c>
      <c r="Q213" s="101">
        <v>460</v>
      </c>
      <c r="R213" s="102">
        <v>0</v>
      </c>
      <c r="S213" s="103">
        <v>0</v>
      </c>
      <c r="T213" s="103">
        <v>0.0909090909090909</v>
      </c>
      <c r="U213" s="102">
        <v>0.388</v>
      </c>
      <c r="V213" s="102" t="e">
        <v>#DIV/0!</v>
      </c>
      <c r="W213" s="103" t="e">
        <v>#DIV/0!</v>
      </c>
      <c r="X213" s="103">
        <v>0.00421739130434783</v>
      </c>
    </row>
    <row r="214" ht="22.5" customHeight="1" spans="1:24">
      <c r="A214" s="97" t="s">
        <v>263</v>
      </c>
      <c r="B214" s="98" t="s">
        <v>135</v>
      </c>
      <c r="C214" s="98" t="s">
        <v>139</v>
      </c>
      <c r="D214" s="98" t="s">
        <v>155</v>
      </c>
      <c r="E214" s="98" t="s">
        <v>63</v>
      </c>
      <c r="F214" s="99">
        <v>46099</v>
      </c>
      <c r="G214" s="100">
        <v>46091</v>
      </c>
      <c r="H214" s="100">
        <v>46101</v>
      </c>
      <c r="I214" s="100" t="s">
        <v>32</v>
      </c>
      <c r="J214" s="100" t="s">
        <v>39</v>
      </c>
      <c r="K214" s="100" t="s">
        <v>34</v>
      </c>
      <c r="L214" s="98">
        <v>344</v>
      </c>
      <c r="M214" s="98">
        <v>4</v>
      </c>
      <c r="N214" s="98">
        <v>0</v>
      </c>
      <c r="O214" s="101">
        <v>1.45</v>
      </c>
      <c r="P214" s="101">
        <v>0</v>
      </c>
      <c r="Q214" s="101">
        <v>0</v>
      </c>
      <c r="R214" s="102">
        <v>0</v>
      </c>
      <c r="S214" s="103">
        <v>0</v>
      </c>
      <c r="T214" s="103">
        <v>0.0116279069767442</v>
      </c>
      <c r="U214" s="102">
        <v>0.3625</v>
      </c>
      <c r="V214" s="102" t="e">
        <v>#DIV/0!</v>
      </c>
      <c r="W214" s="103" t="e">
        <v>#DIV/0!</v>
      </c>
      <c r="X214" s="103" t="e">
        <v>#DIV/0!</v>
      </c>
    </row>
    <row r="215" ht="22.5" customHeight="1" spans="1:24">
      <c r="A215" s="97" t="s">
        <v>263</v>
      </c>
      <c r="B215" s="98" t="s">
        <v>230</v>
      </c>
      <c r="C215" s="98" t="s">
        <v>231</v>
      </c>
      <c r="D215" s="98" t="s">
        <v>232</v>
      </c>
      <c r="E215" s="98" t="s">
        <v>31</v>
      </c>
      <c r="F215" s="99">
        <v>46142</v>
      </c>
      <c r="G215" s="100">
        <v>46141</v>
      </c>
      <c r="H215" s="100" t="s">
        <v>120</v>
      </c>
      <c r="I215" s="100" t="s">
        <v>32</v>
      </c>
      <c r="J215" s="100" t="s">
        <v>52</v>
      </c>
      <c r="K215" s="100" t="s">
        <v>34</v>
      </c>
      <c r="L215" s="98">
        <v>92</v>
      </c>
      <c r="M215" s="98">
        <v>4</v>
      </c>
      <c r="N215" s="98">
        <v>0</v>
      </c>
      <c r="O215" s="101">
        <v>2.48</v>
      </c>
      <c r="P215" s="101">
        <v>0</v>
      </c>
      <c r="Q215" s="101">
        <v>0</v>
      </c>
      <c r="R215" s="102">
        <v>0</v>
      </c>
      <c r="S215" s="103">
        <v>0</v>
      </c>
      <c r="T215" s="103">
        <v>0.0434782608695652</v>
      </c>
      <c r="U215" s="102">
        <v>0.62</v>
      </c>
      <c r="V215" s="102" t="e">
        <v>#DIV/0!</v>
      </c>
      <c r="W215" s="103" t="e">
        <v>#DIV/0!</v>
      </c>
      <c r="X215" s="103" t="e">
        <v>#DIV/0!</v>
      </c>
    </row>
    <row r="216" ht="22.5" customHeight="1" spans="1:24">
      <c r="A216" s="97" t="s">
        <v>263</v>
      </c>
      <c r="B216" s="98" t="s">
        <v>251</v>
      </c>
      <c r="C216" s="98" t="s">
        <v>252</v>
      </c>
      <c r="D216" s="98" t="s">
        <v>253</v>
      </c>
      <c r="E216" s="98" t="s">
        <v>31</v>
      </c>
      <c r="F216" s="99">
        <v>46142</v>
      </c>
      <c r="G216" s="100">
        <v>46108</v>
      </c>
      <c r="H216" s="100">
        <v>46111</v>
      </c>
      <c r="I216" s="100" t="s">
        <v>51</v>
      </c>
      <c r="J216" s="100" t="s">
        <v>52</v>
      </c>
      <c r="K216" s="100" t="s">
        <v>34</v>
      </c>
      <c r="L216" s="98">
        <v>325</v>
      </c>
      <c r="M216" s="98">
        <v>3</v>
      </c>
      <c r="N216" s="98">
        <v>0</v>
      </c>
      <c r="O216" s="101">
        <v>1.34</v>
      </c>
      <c r="P216" s="101">
        <v>0</v>
      </c>
      <c r="Q216" s="101">
        <v>257.4</v>
      </c>
      <c r="R216" s="102">
        <v>0</v>
      </c>
      <c r="S216" s="103">
        <v>0</v>
      </c>
      <c r="T216" s="103">
        <v>0.00923076923076923</v>
      </c>
      <c r="U216" s="102">
        <v>0.446666666666667</v>
      </c>
      <c r="V216" s="102" t="e">
        <v>#DIV/0!</v>
      </c>
      <c r="W216" s="103" t="e">
        <v>#DIV/0!</v>
      </c>
      <c r="X216" s="103">
        <v>0.00520590520590521</v>
      </c>
    </row>
    <row r="217" ht="22.5" customHeight="1" spans="1:24">
      <c r="A217" s="97" t="s">
        <v>263</v>
      </c>
      <c r="B217" s="98" t="s">
        <v>236</v>
      </c>
      <c r="C217" s="98" t="s">
        <v>241</v>
      </c>
      <c r="D217" s="98" t="s">
        <v>242</v>
      </c>
      <c r="E217" s="98" t="s">
        <v>31</v>
      </c>
      <c r="F217" s="99">
        <v>46142</v>
      </c>
      <c r="G217" s="100">
        <v>46141</v>
      </c>
      <c r="H217" s="100" t="s">
        <v>120</v>
      </c>
      <c r="I217" s="100" t="s">
        <v>51</v>
      </c>
      <c r="J217" s="100" t="s">
        <v>52</v>
      </c>
      <c r="K217" s="100" t="s">
        <v>45</v>
      </c>
      <c r="L217" s="98">
        <v>201</v>
      </c>
      <c r="M217" s="98">
        <v>3</v>
      </c>
      <c r="N217" s="98">
        <v>0</v>
      </c>
      <c r="O217" s="101">
        <v>1.99</v>
      </c>
      <c r="P217" s="101">
        <v>0</v>
      </c>
      <c r="Q217" s="101">
        <v>0</v>
      </c>
      <c r="R217" s="102">
        <v>0</v>
      </c>
      <c r="S217" s="103">
        <v>0</v>
      </c>
      <c r="T217" s="103">
        <v>0.0149253731343284</v>
      </c>
      <c r="U217" s="102">
        <v>0.663333333333333</v>
      </c>
      <c r="V217" s="102" t="e">
        <v>#DIV/0!</v>
      </c>
      <c r="W217" s="103" t="e">
        <v>#DIV/0!</v>
      </c>
      <c r="X217" s="103" t="e">
        <v>#DIV/0!</v>
      </c>
    </row>
    <row r="218" ht="22.5" customHeight="1" spans="1:24">
      <c r="A218" s="97" t="s">
        <v>263</v>
      </c>
      <c r="B218" s="98" t="s">
        <v>273</v>
      </c>
      <c r="C218" s="98" t="s">
        <v>274</v>
      </c>
      <c r="D218" s="98" t="s">
        <v>275</v>
      </c>
      <c r="E218" s="98" t="s">
        <v>31</v>
      </c>
      <c r="F218" s="99">
        <v>46142</v>
      </c>
      <c r="G218" s="100">
        <v>46142</v>
      </c>
      <c r="H218" s="100" t="s">
        <v>120</v>
      </c>
      <c r="I218" s="100" t="s">
        <v>32</v>
      </c>
      <c r="J218" s="100" t="s">
        <v>52</v>
      </c>
      <c r="K218" s="100" t="s">
        <v>34</v>
      </c>
      <c r="L218" s="98">
        <v>186</v>
      </c>
      <c r="M218" s="98">
        <v>3</v>
      </c>
      <c r="N218" s="98">
        <v>0</v>
      </c>
      <c r="O218" s="101">
        <v>1.81</v>
      </c>
      <c r="P218" s="101">
        <v>0</v>
      </c>
      <c r="Q218" s="101">
        <v>0</v>
      </c>
      <c r="R218" s="102">
        <v>0</v>
      </c>
      <c r="S218" s="103">
        <v>0</v>
      </c>
      <c r="T218" s="103">
        <v>0.0161290322580645</v>
      </c>
      <c r="U218" s="102">
        <v>0.603333333333333</v>
      </c>
      <c r="V218" s="102" t="e">
        <v>#DIV/0!</v>
      </c>
      <c r="W218" s="103" t="e">
        <v>#DIV/0!</v>
      </c>
      <c r="X218" s="103" t="e">
        <v>#DIV/0!</v>
      </c>
    </row>
    <row r="219" ht="22.5" customHeight="1" spans="1:24">
      <c r="A219" s="97" t="s">
        <v>263</v>
      </c>
      <c r="B219" s="98" t="s">
        <v>187</v>
      </c>
      <c r="C219" s="98" t="s">
        <v>190</v>
      </c>
      <c r="D219" s="98" t="s">
        <v>191</v>
      </c>
      <c r="E219" s="98" t="s">
        <v>63</v>
      </c>
      <c r="F219" s="99">
        <v>46135</v>
      </c>
      <c r="G219" s="100">
        <v>46108</v>
      </c>
      <c r="H219" s="100">
        <v>46141</v>
      </c>
      <c r="I219" s="100" t="s">
        <v>59</v>
      </c>
      <c r="J219" s="100" t="s">
        <v>44</v>
      </c>
      <c r="K219" s="100" t="s">
        <v>45</v>
      </c>
      <c r="L219" s="98">
        <v>124</v>
      </c>
      <c r="M219" s="98">
        <v>3</v>
      </c>
      <c r="N219" s="98">
        <v>0</v>
      </c>
      <c r="O219" s="101">
        <v>1.22</v>
      </c>
      <c r="P219" s="101">
        <v>0</v>
      </c>
      <c r="Q219" s="101">
        <v>0</v>
      </c>
      <c r="R219" s="102">
        <v>0</v>
      </c>
      <c r="S219" s="103">
        <v>0</v>
      </c>
      <c r="T219" s="103">
        <v>0.0241935483870968</v>
      </c>
      <c r="U219" s="102">
        <v>0.406666666666667</v>
      </c>
      <c r="V219" s="102" t="e">
        <v>#DIV/0!</v>
      </c>
      <c r="W219" s="103" t="e">
        <v>#DIV/0!</v>
      </c>
      <c r="X219" s="103" t="e">
        <v>#DIV/0!</v>
      </c>
    </row>
    <row r="220" ht="22.5" customHeight="1" spans="1:24">
      <c r="A220" s="97" t="s">
        <v>263</v>
      </c>
      <c r="B220" s="98" t="s">
        <v>236</v>
      </c>
      <c r="C220" s="98" t="s">
        <v>237</v>
      </c>
      <c r="D220" s="98" t="s">
        <v>238</v>
      </c>
      <c r="E220" s="98" t="s">
        <v>31</v>
      </c>
      <c r="F220" s="99">
        <v>46142</v>
      </c>
      <c r="G220" s="100">
        <v>46108</v>
      </c>
      <c r="H220" s="100">
        <v>46111</v>
      </c>
      <c r="I220" s="100" t="s">
        <v>51</v>
      </c>
      <c r="J220" s="100" t="s">
        <v>52</v>
      </c>
      <c r="K220" s="100" t="s">
        <v>34</v>
      </c>
      <c r="L220" s="98">
        <v>35</v>
      </c>
      <c r="M220" s="98">
        <v>3</v>
      </c>
      <c r="N220" s="98">
        <v>0</v>
      </c>
      <c r="O220" s="101">
        <v>1.44</v>
      </c>
      <c r="P220" s="101">
        <v>0</v>
      </c>
      <c r="Q220" s="101">
        <v>232</v>
      </c>
      <c r="R220" s="102">
        <v>0</v>
      </c>
      <c r="S220" s="103">
        <v>0</v>
      </c>
      <c r="T220" s="103">
        <v>0.0857142857142857</v>
      </c>
      <c r="U220" s="102">
        <v>0.48</v>
      </c>
      <c r="V220" s="102" t="e">
        <v>#DIV/0!</v>
      </c>
      <c r="W220" s="103" t="e">
        <v>#DIV/0!</v>
      </c>
      <c r="X220" s="103">
        <v>0.00620689655172414</v>
      </c>
    </row>
    <row r="221" ht="22.5" customHeight="1" spans="1:24">
      <c r="A221" s="97" t="s">
        <v>263</v>
      </c>
      <c r="B221" s="98" t="s">
        <v>254</v>
      </c>
      <c r="C221" s="98" t="s">
        <v>255</v>
      </c>
      <c r="D221" s="98" t="s">
        <v>256</v>
      </c>
      <c r="E221" s="98" t="s">
        <v>31</v>
      </c>
      <c r="F221" s="99">
        <v>46143</v>
      </c>
      <c r="G221" s="100">
        <v>46141</v>
      </c>
      <c r="H221" s="100" t="s">
        <v>120</v>
      </c>
      <c r="I221" s="100" t="s">
        <v>68</v>
      </c>
      <c r="J221" s="100" t="s">
        <v>92</v>
      </c>
      <c r="K221" s="100" t="s">
        <v>34</v>
      </c>
      <c r="L221" s="98">
        <v>323</v>
      </c>
      <c r="M221" s="98">
        <v>2</v>
      </c>
      <c r="N221" s="98">
        <v>0</v>
      </c>
      <c r="O221" s="101">
        <v>2.21</v>
      </c>
      <c r="P221" s="101">
        <v>0</v>
      </c>
      <c r="Q221" s="101">
        <v>0</v>
      </c>
      <c r="R221" s="102">
        <v>0</v>
      </c>
      <c r="S221" s="103">
        <v>0</v>
      </c>
      <c r="T221" s="103">
        <v>0.00619195046439629</v>
      </c>
      <c r="U221" s="102">
        <v>1.105</v>
      </c>
      <c r="V221" s="102" t="e">
        <v>#DIV/0!</v>
      </c>
      <c r="W221" s="103" t="e">
        <v>#DIV/0!</v>
      </c>
      <c r="X221" s="103" t="e">
        <v>#DIV/0!</v>
      </c>
    </row>
    <row r="222" ht="22.5" customHeight="1" spans="1:24">
      <c r="A222" s="97" t="s">
        <v>263</v>
      </c>
      <c r="B222" s="98" t="s">
        <v>65</v>
      </c>
      <c r="C222" s="98" t="s">
        <v>66</v>
      </c>
      <c r="D222" s="98" t="s">
        <v>67</v>
      </c>
      <c r="E222" s="98" t="s">
        <v>31</v>
      </c>
      <c r="F222" s="99">
        <v>46114</v>
      </c>
      <c r="G222" s="100">
        <v>46092</v>
      </c>
      <c r="H222" s="100">
        <v>46112</v>
      </c>
      <c r="I222" s="100" t="s">
        <v>68</v>
      </c>
      <c r="J222" s="100" t="s">
        <v>39</v>
      </c>
      <c r="K222" s="100" t="s">
        <v>45</v>
      </c>
      <c r="L222" s="98">
        <v>134</v>
      </c>
      <c r="M222" s="98">
        <v>2</v>
      </c>
      <c r="N222" s="98">
        <v>0</v>
      </c>
      <c r="O222" s="101">
        <v>0.74</v>
      </c>
      <c r="P222" s="101">
        <v>0</v>
      </c>
      <c r="Q222" s="101">
        <v>0</v>
      </c>
      <c r="R222" s="102">
        <v>0</v>
      </c>
      <c r="S222" s="103">
        <v>0</v>
      </c>
      <c r="T222" s="103">
        <v>0.0149253731343284</v>
      </c>
      <c r="U222" s="102">
        <v>0.37</v>
      </c>
      <c r="V222" s="102" t="e">
        <v>#DIV/0!</v>
      </c>
      <c r="W222" s="103" t="e">
        <v>#DIV/0!</v>
      </c>
      <c r="X222" s="103" t="e">
        <v>#DIV/0!</v>
      </c>
    </row>
    <row r="223" ht="22.5" customHeight="1" spans="1:24">
      <c r="A223" s="97" t="s">
        <v>263</v>
      </c>
      <c r="B223" s="98" t="s">
        <v>141</v>
      </c>
      <c r="C223" s="98" t="s">
        <v>142</v>
      </c>
      <c r="D223" s="98" t="s">
        <v>143</v>
      </c>
      <c r="E223" s="98" t="s">
        <v>63</v>
      </c>
      <c r="F223" s="99">
        <v>46121</v>
      </c>
      <c r="G223" s="100">
        <v>46092</v>
      </c>
      <c r="H223" s="100">
        <v>46096</v>
      </c>
      <c r="I223" s="100" t="s">
        <v>68</v>
      </c>
      <c r="J223" s="100" t="s">
        <v>39</v>
      </c>
      <c r="K223" s="100" t="s">
        <v>45</v>
      </c>
      <c r="L223" s="98">
        <v>284</v>
      </c>
      <c r="M223" s="98">
        <v>1</v>
      </c>
      <c r="N223" s="98">
        <v>0</v>
      </c>
      <c r="O223" s="101">
        <v>0.36</v>
      </c>
      <c r="P223" s="101">
        <v>0</v>
      </c>
      <c r="Q223" s="101">
        <v>78</v>
      </c>
      <c r="R223" s="102">
        <v>0</v>
      </c>
      <c r="S223" s="103">
        <v>0</v>
      </c>
      <c r="T223" s="103">
        <v>0.00352112676056338</v>
      </c>
      <c r="U223" s="102">
        <v>0.36</v>
      </c>
      <c r="V223" s="102" t="e">
        <v>#DIV/0!</v>
      </c>
      <c r="W223" s="103" t="e">
        <v>#DIV/0!</v>
      </c>
      <c r="X223" s="103">
        <v>0.00461538461538461</v>
      </c>
    </row>
    <row r="224" ht="22.5" customHeight="1" spans="1:24">
      <c r="A224" s="97" t="s">
        <v>263</v>
      </c>
      <c r="B224" s="98" t="s">
        <v>276</v>
      </c>
      <c r="C224" s="98" t="s">
        <v>277</v>
      </c>
      <c r="D224" s="98" t="s">
        <v>278</v>
      </c>
      <c r="E224" s="98" t="s">
        <v>31</v>
      </c>
      <c r="F224" s="99">
        <v>46143</v>
      </c>
      <c r="G224" s="100">
        <v>46142</v>
      </c>
      <c r="H224" s="100" t="s">
        <v>120</v>
      </c>
      <c r="I224" s="100" t="s">
        <v>68</v>
      </c>
      <c r="J224" s="100" t="s">
        <v>92</v>
      </c>
      <c r="K224" s="100" t="s">
        <v>34</v>
      </c>
      <c r="L224" s="98">
        <v>130</v>
      </c>
      <c r="M224" s="98">
        <v>1</v>
      </c>
      <c r="N224" s="98">
        <v>0</v>
      </c>
      <c r="O224" s="101">
        <v>0.39</v>
      </c>
      <c r="P224" s="101">
        <v>0</v>
      </c>
      <c r="Q224" s="101">
        <v>0</v>
      </c>
      <c r="R224" s="102">
        <v>0</v>
      </c>
      <c r="S224" s="103">
        <v>0</v>
      </c>
      <c r="T224" s="103">
        <v>0.00769230769230769</v>
      </c>
      <c r="U224" s="102">
        <v>0.39</v>
      </c>
      <c r="V224" s="102" t="e">
        <v>#DIV/0!</v>
      </c>
      <c r="W224" s="103" t="e">
        <v>#DIV/0!</v>
      </c>
      <c r="X224" s="103" t="e">
        <v>#DIV/0!</v>
      </c>
    </row>
    <row r="225" ht="22.5" customHeight="1" spans="1:24">
      <c r="A225" s="97" t="s">
        <v>263</v>
      </c>
      <c r="B225" s="98" t="s">
        <v>236</v>
      </c>
      <c r="C225" s="98" t="s">
        <v>239</v>
      </c>
      <c r="D225" s="98" t="s">
        <v>240</v>
      </c>
      <c r="E225" s="98" t="s">
        <v>31</v>
      </c>
      <c r="F225" s="99">
        <v>46142</v>
      </c>
      <c r="G225" s="100">
        <v>46141</v>
      </c>
      <c r="H225" s="100">
        <v>46147</v>
      </c>
      <c r="I225" s="100" t="s">
        <v>51</v>
      </c>
      <c r="J225" s="100" t="s">
        <v>52</v>
      </c>
      <c r="K225" s="100" t="s">
        <v>45</v>
      </c>
      <c r="L225" s="98">
        <v>105</v>
      </c>
      <c r="M225" s="98">
        <v>1</v>
      </c>
      <c r="N225" s="98">
        <v>0</v>
      </c>
      <c r="O225" s="101">
        <v>0.76</v>
      </c>
      <c r="P225" s="101">
        <v>0</v>
      </c>
      <c r="Q225" s="101">
        <v>60</v>
      </c>
      <c r="R225" s="102">
        <v>0</v>
      </c>
      <c r="S225" s="103">
        <v>0</v>
      </c>
      <c r="T225" s="103">
        <v>0.00952380952380952</v>
      </c>
      <c r="U225" s="102">
        <v>0.76</v>
      </c>
      <c r="V225" s="102" t="e">
        <v>#DIV/0!</v>
      </c>
      <c r="W225" s="103" t="e">
        <v>#DIV/0!</v>
      </c>
      <c r="X225" s="103">
        <v>0.0126666666666667</v>
      </c>
    </row>
    <row r="226" ht="22.5" customHeight="1" spans="1:24">
      <c r="A226" s="97" t="s">
        <v>263</v>
      </c>
      <c r="B226" s="98" t="s">
        <v>93</v>
      </c>
      <c r="C226" s="98" t="s">
        <v>94</v>
      </c>
      <c r="D226" s="98" t="s">
        <v>95</v>
      </c>
      <c r="E226" s="98" t="s">
        <v>31</v>
      </c>
      <c r="F226" s="99">
        <v>46100</v>
      </c>
      <c r="G226" s="100">
        <v>46097</v>
      </c>
      <c r="H226" s="100">
        <v>46100</v>
      </c>
      <c r="I226" s="100" t="s">
        <v>96</v>
      </c>
      <c r="J226" s="100" t="s">
        <v>97</v>
      </c>
      <c r="K226" s="100" t="s">
        <v>34</v>
      </c>
      <c r="L226" s="98">
        <v>32</v>
      </c>
      <c r="M226" s="98">
        <v>1</v>
      </c>
      <c r="N226" s="98">
        <v>0</v>
      </c>
      <c r="O226" s="101">
        <v>0.65</v>
      </c>
      <c r="P226" s="101">
        <v>0</v>
      </c>
      <c r="Q226" s="101">
        <v>95</v>
      </c>
      <c r="R226" s="102">
        <v>0</v>
      </c>
      <c r="S226" s="103">
        <v>0</v>
      </c>
      <c r="T226" s="103">
        <v>0.03125</v>
      </c>
      <c r="U226" s="102">
        <v>0.65</v>
      </c>
      <c r="V226" s="102" t="e">
        <v>#DIV/0!</v>
      </c>
      <c r="W226" s="103" t="e">
        <v>#DIV/0!</v>
      </c>
      <c r="X226" s="103">
        <v>0.0068421052631579</v>
      </c>
    </row>
    <row r="227" ht="22.5" customHeight="1" spans="1:24">
      <c r="A227" s="97" t="s">
        <v>263</v>
      </c>
      <c r="B227" s="98" t="s">
        <v>251</v>
      </c>
      <c r="C227" s="98" t="s">
        <v>279</v>
      </c>
      <c r="D227" s="98" t="s">
        <v>280</v>
      </c>
      <c r="E227" s="98" t="s">
        <v>31</v>
      </c>
      <c r="F227" s="99">
        <v>46142</v>
      </c>
      <c r="G227" s="100">
        <v>46142</v>
      </c>
      <c r="H227" s="100" t="s">
        <v>120</v>
      </c>
      <c r="I227" s="100" t="s">
        <v>51</v>
      </c>
      <c r="J227" s="100" t="s">
        <v>52</v>
      </c>
      <c r="K227" s="100" t="s">
        <v>45</v>
      </c>
      <c r="L227" s="98">
        <v>22</v>
      </c>
      <c r="M227" s="98">
        <v>1</v>
      </c>
      <c r="N227" s="98">
        <v>0</v>
      </c>
      <c r="O227" s="101">
        <v>0.34</v>
      </c>
      <c r="P227" s="101">
        <v>0</v>
      </c>
      <c r="Q227" s="101">
        <v>0</v>
      </c>
      <c r="R227" s="102">
        <v>0</v>
      </c>
      <c r="S227" s="103">
        <v>0</v>
      </c>
      <c r="T227" s="103">
        <v>0.0454545454545455</v>
      </c>
      <c r="U227" s="102">
        <v>0.34</v>
      </c>
      <c r="V227" s="102" t="e">
        <v>#DIV/0!</v>
      </c>
      <c r="W227" s="103" t="e">
        <v>#DIV/0!</v>
      </c>
      <c r="X227" s="103" t="e">
        <v>#DIV/0!</v>
      </c>
    </row>
    <row r="228" ht="22.5" customHeight="1" spans="1:24">
      <c r="A228" s="97" t="s">
        <v>263</v>
      </c>
      <c r="B228" s="98" t="s">
        <v>141</v>
      </c>
      <c r="C228" s="98" t="s">
        <v>66</v>
      </c>
      <c r="D228" s="98" t="s">
        <v>160</v>
      </c>
      <c r="E228" s="98" t="s">
        <v>63</v>
      </c>
      <c r="F228" s="99">
        <v>46121</v>
      </c>
      <c r="G228" s="100">
        <v>46092</v>
      </c>
      <c r="H228" s="100">
        <v>46112</v>
      </c>
      <c r="I228" s="100" t="s">
        <v>68</v>
      </c>
      <c r="J228" s="100" t="s">
        <v>39</v>
      </c>
      <c r="K228" s="100" t="s">
        <v>45</v>
      </c>
      <c r="L228" s="98">
        <v>619</v>
      </c>
      <c r="M228" s="98">
        <v>0</v>
      </c>
      <c r="N228" s="98">
        <v>0</v>
      </c>
      <c r="O228" s="101">
        <v>0</v>
      </c>
      <c r="P228" s="101">
        <v>0</v>
      </c>
      <c r="Q228" s="101">
        <v>0</v>
      </c>
      <c r="R228" s="102" t="e">
        <v>#DIV/0!</v>
      </c>
      <c r="S228" s="103" t="e">
        <v>#DIV/0!</v>
      </c>
      <c r="T228" s="103">
        <v>0</v>
      </c>
      <c r="U228" s="102" t="e">
        <v>#DIV/0!</v>
      </c>
      <c r="V228" s="102" t="e">
        <v>#DIV/0!</v>
      </c>
      <c r="W228" s="103" t="e">
        <v>#DIV/0!</v>
      </c>
      <c r="X228" s="103" t="e">
        <v>#DIV/0!</v>
      </c>
    </row>
    <row r="229" ht="22.5" customHeight="1" spans="1:24">
      <c r="A229" s="97" t="s">
        <v>263</v>
      </c>
      <c r="B229" s="98" t="s">
        <v>138</v>
      </c>
      <c r="C229" s="98" t="s">
        <v>139</v>
      </c>
      <c r="D229" s="98" t="s">
        <v>140</v>
      </c>
      <c r="E229" s="98" t="s">
        <v>31</v>
      </c>
      <c r="F229" s="99">
        <v>46092</v>
      </c>
      <c r="G229" s="100">
        <v>46091</v>
      </c>
      <c r="H229" s="100">
        <v>46101</v>
      </c>
      <c r="I229" s="100" t="s">
        <v>32</v>
      </c>
      <c r="J229" s="100" t="s">
        <v>39</v>
      </c>
      <c r="K229" s="100" t="s">
        <v>34</v>
      </c>
      <c r="L229" s="98">
        <v>131</v>
      </c>
      <c r="M229" s="98">
        <v>0</v>
      </c>
      <c r="N229" s="98">
        <v>0</v>
      </c>
      <c r="O229" s="101">
        <v>0</v>
      </c>
      <c r="P229" s="101">
        <v>0</v>
      </c>
      <c r="Q229" s="101">
        <v>0</v>
      </c>
      <c r="R229" s="102" t="e">
        <v>#DIV/0!</v>
      </c>
      <c r="S229" s="103" t="e">
        <v>#DIV/0!</v>
      </c>
      <c r="T229" s="103">
        <v>0</v>
      </c>
      <c r="U229" s="102" t="e">
        <v>#DIV/0!</v>
      </c>
      <c r="V229" s="102" t="e">
        <v>#DIV/0!</v>
      </c>
      <c r="W229" s="103" t="e">
        <v>#DIV/0!</v>
      </c>
      <c r="X229" s="103" t="e">
        <v>#DIV/0!</v>
      </c>
    </row>
    <row r="230" ht="22.5" customHeight="1" spans="1:24">
      <c r="A230" s="97" t="s">
        <v>263</v>
      </c>
      <c r="B230" s="98" t="s">
        <v>187</v>
      </c>
      <c r="C230" s="98" t="s">
        <v>188</v>
      </c>
      <c r="D230" s="98" t="s">
        <v>189</v>
      </c>
      <c r="E230" s="98" t="s">
        <v>63</v>
      </c>
      <c r="F230" s="99">
        <v>46135</v>
      </c>
      <c r="G230" s="100">
        <v>46108</v>
      </c>
      <c r="H230" s="100" t="s">
        <v>120</v>
      </c>
      <c r="I230" s="100" t="s">
        <v>59</v>
      </c>
      <c r="J230" s="100" t="s">
        <v>44</v>
      </c>
      <c r="K230" s="100" t="s">
        <v>45</v>
      </c>
      <c r="L230" s="98">
        <v>93</v>
      </c>
      <c r="M230" s="98">
        <v>0</v>
      </c>
      <c r="N230" s="98">
        <v>0</v>
      </c>
      <c r="O230" s="101">
        <v>0</v>
      </c>
      <c r="P230" s="101">
        <v>0</v>
      </c>
      <c r="Q230" s="101">
        <v>0</v>
      </c>
      <c r="R230" s="102" t="e">
        <v>#DIV/0!</v>
      </c>
      <c r="S230" s="103" t="e">
        <v>#DIV/0!</v>
      </c>
      <c r="T230" s="103">
        <v>0</v>
      </c>
      <c r="U230" s="102" t="e">
        <v>#DIV/0!</v>
      </c>
      <c r="V230" s="102" t="e">
        <v>#DIV/0!</v>
      </c>
      <c r="W230" s="103" t="e">
        <v>#DIV/0!</v>
      </c>
      <c r="X230" s="103" t="e">
        <v>#DIV/0!</v>
      </c>
    </row>
    <row r="231" ht="22.5" customHeight="1" spans="1:24">
      <c r="A231" s="97" t="s">
        <v>263</v>
      </c>
      <c r="B231" s="98" t="s">
        <v>281</v>
      </c>
      <c r="C231" s="98" t="s">
        <v>228</v>
      </c>
      <c r="D231" s="98" t="s">
        <v>229</v>
      </c>
      <c r="E231" s="98" t="s">
        <v>31</v>
      </c>
      <c r="F231" s="99">
        <v>46141</v>
      </c>
      <c r="G231" s="100">
        <v>46140</v>
      </c>
      <c r="H231" s="100">
        <v>46142</v>
      </c>
      <c r="I231" s="100" t="s">
        <v>32</v>
      </c>
      <c r="J231" s="100" t="s">
        <v>33</v>
      </c>
      <c r="K231" s="100" t="s">
        <v>34</v>
      </c>
      <c r="L231" s="98">
        <v>74</v>
      </c>
      <c r="M231" s="98">
        <v>0</v>
      </c>
      <c r="N231" s="98">
        <v>0</v>
      </c>
      <c r="O231" s="101">
        <v>0</v>
      </c>
      <c r="P231" s="101">
        <v>0</v>
      </c>
      <c r="Q231" s="101">
        <v>267</v>
      </c>
      <c r="R231" s="102" t="e">
        <v>#DIV/0!</v>
      </c>
      <c r="S231" s="103" t="e">
        <v>#DIV/0!</v>
      </c>
      <c r="T231" s="103">
        <v>0</v>
      </c>
      <c r="U231" s="102" t="e">
        <v>#DIV/0!</v>
      </c>
      <c r="V231" s="102" t="e">
        <v>#DIV/0!</v>
      </c>
      <c r="W231" s="103" t="e">
        <v>#DIV/0!</v>
      </c>
      <c r="X231" s="103">
        <v>0</v>
      </c>
    </row>
    <row r="232" ht="22.5" customHeight="1" spans="1:24">
      <c r="A232" s="97" t="s">
        <v>263</v>
      </c>
      <c r="B232" s="98" t="s">
        <v>282</v>
      </c>
      <c r="C232" s="98" t="s">
        <v>228</v>
      </c>
      <c r="D232" s="98" t="s">
        <v>283</v>
      </c>
      <c r="E232" s="98" t="s">
        <v>63</v>
      </c>
      <c r="F232" s="99">
        <v>46148</v>
      </c>
      <c r="G232" s="100">
        <v>46140</v>
      </c>
      <c r="H232" s="100">
        <v>46142</v>
      </c>
      <c r="I232" s="100" t="s">
        <v>32</v>
      </c>
      <c r="J232" s="100" t="s">
        <v>33</v>
      </c>
      <c r="K232" s="100" t="s">
        <v>34</v>
      </c>
      <c r="L232" s="98">
        <v>67</v>
      </c>
      <c r="M232" s="98">
        <v>0</v>
      </c>
      <c r="N232" s="98">
        <v>0</v>
      </c>
      <c r="O232" s="101">
        <v>0</v>
      </c>
      <c r="P232" s="101">
        <v>0</v>
      </c>
      <c r="Q232" s="101">
        <v>267</v>
      </c>
      <c r="R232" s="102" t="e">
        <v>#DIV/0!</v>
      </c>
      <c r="S232" s="103" t="e">
        <v>#DIV/0!</v>
      </c>
      <c r="T232" s="103">
        <v>0</v>
      </c>
      <c r="U232" s="102" t="e">
        <v>#DIV/0!</v>
      </c>
      <c r="V232" s="102" t="e">
        <v>#DIV/0!</v>
      </c>
      <c r="W232" s="103" t="e">
        <v>#DIV/0!</v>
      </c>
      <c r="X232" s="103">
        <v>0</v>
      </c>
    </row>
    <row r="233" ht="22.5" customHeight="1" spans="1:24">
      <c r="A233" s="97" t="s">
        <v>263</v>
      </c>
      <c r="B233" s="98" t="s">
        <v>65</v>
      </c>
      <c r="C233" s="98" t="s">
        <v>142</v>
      </c>
      <c r="D233" s="98" t="s">
        <v>169</v>
      </c>
      <c r="E233" s="98" t="s">
        <v>31</v>
      </c>
      <c r="F233" s="99">
        <v>46114</v>
      </c>
      <c r="G233" s="100">
        <v>46092</v>
      </c>
      <c r="H233" s="100">
        <v>46096</v>
      </c>
      <c r="I233" s="100" t="s">
        <v>68</v>
      </c>
      <c r="J233" s="100" t="s">
        <v>39</v>
      </c>
      <c r="K233" s="100" t="s">
        <v>45</v>
      </c>
      <c r="L233" s="98">
        <v>51</v>
      </c>
      <c r="M233" s="98">
        <v>0</v>
      </c>
      <c r="N233" s="98">
        <v>0</v>
      </c>
      <c r="O233" s="101">
        <v>0</v>
      </c>
      <c r="P233" s="101">
        <v>0</v>
      </c>
      <c r="Q233" s="101">
        <v>78</v>
      </c>
      <c r="R233" s="102" t="e">
        <v>#DIV/0!</v>
      </c>
      <c r="S233" s="103" t="e">
        <v>#DIV/0!</v>
      </c>
      <c r="T233" s="103">
        <v>0</v>
      </c>
      <c r="U233" s="102" t="e">
        <v>#DIV/0!</v>
      </c>
      <c r="V233" s="102" t="e">
        <v>#DIV/0!</v>
      </c>
      <c r="W233" s="103" t="e">
        <v>#DIV/0!</v>
      </c>
      <c r="X233" s="103">
        <v>0</v>
      </c>
    </row>
    <row r="234" ht="22.5" customHeight="1" spans="1:24">
      <c r="A234" s="97" t="s">
        <v>263</v>
      </c>
      <c r="B234" s="98" t="s">
        <v>248</v>
      </c>
      <c r="C234" s="98" t="s">
        <v>249</v>
      </c>
      <c r="D234" s="98" t="s">
        <v>250</v>
      </c>
      <c r="E234" s="98" t="s">
        <v>31</v>
      </c>
      <c r="F234" s="99">
        <v>46142</v>
      </c>
      <c r="G234" s="100">
        <v>46140</v>
      </c>
      <c r="H234" s="100" t="s">
        <v>120</v>
      </c>
      <c r="I234" s="100" t="s">
        <v>64</v>
      </c>
      <c r="J234" s="100" t="s">
        <v>97</v>
      </c>
      <c r="K234" s="100" t="s">
        <v>34</v>
      </c>
      <c r="L234" s="98">
        <v>47</v>
      </c>
      <c r="M234" s="98">
        <v>0</v>
      </c>
      <c r="N234" s="98">
        <v>0</v>
      </c>
      <c r="O234" s="101">
        <v>0</v>
      </c>
      <c r="P234" s="101">
        <v>0</v>
      </c>
      <c r="Q234" s="101">
        <v>0</v>
      </c>
      <c r="R234" s="102" t="e">
        <v>#DIV/0!</v>
      </c>
      <c r="S234" s="103" t="e">
        <v>#DIV/0!</v>
      </c>
      <c r="T234" s="103">
        <v>0</v>
      </c>
      <c r="U234" s="102" t="e">
        <v>#DIV/0!</v>
      </c>
      <c r="V234" s="102" t="e">
        <v>#DIV/0!</v>
      </c>
      <c r="W234" s="103" t="e">
        <v>#DIV/0!</v>
      </c>
      <c r="X234" s="103" t="e">
        <v>#DIV/0!</v>
      </c>
    </row>
    <row r="235" ht="22.5" customHeight="1" spans="1:24">
      <c r="A235" s="97" t="s">
        <v>263</v>
      </c>
      <c r="B235" s="98" t="s">
        <v>251</v>
      </c>
      <c r="C235" s="98" t="s">
        <v>284</v>
      </c>
      <c r="D235" s="98" t="s">
        <v>285</v>
      </c>
      <c r="E235" s="98" t="s">
        <v>31</v>
      </c>
      <c r="F235" s="99">
        <v>46142</v>
      </c>
      <c r="G235" s="100">
        <v>46142</v>
      </c>
      <c r="H235" s="100">
        <v>46147</v>
      </c>
      <c r="I235" s="100" t="s">
        <v>51</v>
      </c>
      <c r="J235" s="100" t="s">
        <v>52</v>
      </c>
      <c r="K235" s="100" t="s">
        <v>45</v>
      </c>
      <c r="L235" s="98">
        <v>26</v>
      </c>
      <c r="M235" s="98">
        <v>0</v>
      </c>
      <c r="N235" s="98">
        <v>0</v>
      </c>
      <c r="O235" s="101">
        <v>0</v>
      </c>
      <c r="P235" s="101">
        <v>0</v>
      </c>
      <c r="Q235" s="101">
        <v>65</v>
      </c>
      <c r="R235" s="102" t="e">
        <v>#DIV/0!</v>
      </c>
      <c r="S235" s="103" t="e">
        <v>#DIV/0!</v>
      </c>
      <c r="T235" s="103">
        <v>0</v>
      </c>
      <c r="U235" s="102" t="e">
        <v>#DIV/0!</v>
      </c>
      <c r="V235" s="102" t="e">
        <v>#DIV/0!</v>
      </c>
      <c r="W235" s="103" t="e">
        <v>#DIV/0!</v>
      </c>
      <c r="X235" s="103">
        <v>0</v>
      </c>
    </row>
    <row r="236" ht="22.5" customHeight="1" spans="1:24">
      <c r="A236" s="97" t="s">
        <v>263</v>
      </c>
      <c r="B236" s="98" t="s">
        <v>135</v>
      </c>
      <c r="C236" s="98" t="s">
        <v>136</v>
      </c>
      <c r="D236" s="98" t="s">
        <v>137</v>
      </c>
      <c r="E236" s="98" t="s">
        <v>63</v>
      </c>
      <c r="F236" s="99">
        <v>46099</v>
      </c>
      <c r="G236" s="100">
        <v>46091</v>
      </c>
      <c r="H236" s="100">
        <v>46106</v>
      </c>
      <c r="I236" s="100" t="s">
        <v>32</v>
      </c>
      <c r="J236" s="100" t="s">
        <v>39</v>
      </c>
      <c r="K236" s="100" t="s">
        <v>34</v>
      </c>
      <c r="L236" s="98">
        <v>0</v>
      </c>
      <c r="M236" s="98">
        <v>0</v>
      </c>
      <c r="N236" s="98">
        <v>0</v>
      </c>
      <c r="O236" s="101">
        <v>0</v>
      </c>
      <c r="P236" s="101">
        <v>0</v>
      </c>
      <c r="Q236" s="101">
        <v>38</v>
      </c>
      <c r="R236" s="102" t="e">
        <v>#DIV/0!</v>
      </c>
      <c r="S236" s="103" t="e">
        <v>#DIV/0!</v>
      </c>
      <c r="T236" s="103" t="e">
        <v>#DIV/0!</v>
      </c>
      <c r="U236" s="102" t="e">
        <v>#DIV/0!</v>
      </c>
      <c r="V236" s="102" t="e">
        <v>#DIV/0!</v>
      </c>
      <c r="W236" s="103" t="e">
        <v>#DIV/0!</v>
      </c>
      <c r="X236" s="103">
        <v>0</v>
      </c>
    </row>
    <row r="237" ht="22.5" customHeight="1" spans="1:24">
      <c r="A237" s="97" t="s">
        <v>263</v>
      </c>
      <c r="B237" s="98" t="s">
        <v>286</v>
      </c>
      <c r="C237" s="98" t="s">
        <v>287</v>
      </c>
      <c r="D237" s="98" t="s">
        <v>288</v>
      </c>
      <c r="E237" s="98" t="s">
        <v>31</v>
      </c>
      <c r="F237" s="99">
        <v>46147</v>
      </c>
      <c r="G237" s="100">
        <v>46142</v>
      </c>
      <c r="H237" s="100" t="s">
        <v>120</v>
      </c>
      <c r="I237" s="100" t="s">
        <v>96</v>
      </c>
      <c r="J237" s="100" t="s">
        <v>97</v>
      </c>
      <c r="K237" s="100" t="s">
        <v>34</v>
      </c>
      <c r="L237" s="98">
        <v>0</v>
      </c>
      <c r="M237" s="98">
        <v>0</v>
      </c>
      <c r="N237" s="98">
        <v>0</v>
      </c>
      <c r="O237" s="101">
        <v>0</v>
      </c>
      <c r="P237" s="101">
        <v>0</v>
      </c>
      <c r="Q237" s="101">
        <v>0</v>
      </c>
      <c r="R237" s="102" t="e">
        <v>#DIV/0!</v>
      </c>
      <c r="S237" s="103" t="e">
        <v>#DIV/0!</v>
      </c>
      <c r="T237" s="103" t="e">
        <v>#DIV/0!</v>
      </c>
      <c r="U237" s="102" t="e">
        <v>#DIV/0!</v>
      </c>
      <c r="V237" s="102" t="e">
        <v>#DIV/0!</v>
      </c>
      <c r="W237" s="103" t="e">
        <v>#DIV/0!</v>
      </c>
      <c r="X237" s="103" t="e">
        <v>#DIV/0!</v>
      </c>
    </row>
  </sheetData>
  <mergeCells count="12">
    <mergeCell ref="C2:E2"/>
    <mergeCell ref="F2:I2"/>
    <mergeCell ref="J2:K2"/>
    <mergeCell ref="C59:E59"/>
    <mergeCell ref="F59:I59"/>
    <mergeCell ref="J59:K59"/>
    <mergeCell ref="C120:E120"/>
    <mergeCell ref="F120:I120"/>
    <mergeCell ref="J120:K120"/>
    <mergeCell ref="C184:E184"/>
    <mergeCell ref="F184:I184"/>
    <mergeCell ref="J184:K18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DJ138"/>
  <sheetViews>
    <sheetView workbookViewId="0">
      <pane xSplit="7" ySplit="1" topLeftCell="H50" activePane="bottomRight" state="frozen"/>
      <selection/>
      <selection pane="topRight"/>
      <selection pane="bottomLeft"/>
      <selection pane="bottomRight" activeCell="G60" sqref="G60"/>
    </sheetView>
  </sheetViews>
  <sheetFormatPr defaultColWidth="9" defaultRowHeight="13.5"/>
  <cols>
    <col min="1" max="1" width="11.375" style="1" customWidth="1"/>
    <col min="2" max="2" width="25.625" style="2" customWidth="1"/>
    <col min="3" max="6" width="11.875" style="2" customWidth="1"/>
    <col min="7" max="7" width="11.875" style="3" customWidth="1"/>
    <col min="8" max="13" width="13.625" style="3" customWidth="1"/>
    <col min="14" max="16" width="16.4583333333333" style="3" customWidth="1"/>
    <col min="17" max="17" width="8.675" style="3" customWidth="1"/>
    <col min="18" max="18" width="15.375" style="4" customWidth="1"/>
    <col min="19" max="23" width="15.375" style="5" customWidth="1"/>
    <col min="24" max="24" width="17" style="5" customWidth="1"/>
    <col min="25" max="26" width="17" style="6" customWidth="1"/>
    <col min="27" max="27" width="12.675" style="3" customWidth="1"/>
    <col min="28" max="28" width="15.8416666666667" style="7" customWidth="1"/>
    <col min="29" max="36" width="15.8416666666667" style="3" customWidth="1"/>
    <col min="37" max="37" width="14.0083333333333" style="8" customWidth="1"/>
    <col min="38" max="45" width="14.0083333333333" style="9" customWidth="1"/>
    <col min="46" max="46" width="15.8416666666667" style="10" customWidth="1"/>
    <col min="47" max="53" width="15.8416666666667" style="11" customWidth="1"/>
    <col min="54" max="54" width="15.8416666666667" style="12" customWidth="1"/>
    <col min="55" max="63" width="21.175" style="3" customWidth="1"/>
    <col min="64" max="64" width="21.175" style="7" customWidth="1"/>
    <col min="65" max="71" width="21.175" style="3" customWidth="1"/>
    <col min="72" max="72" width="21.175" style="13" customWidth="1"/>
    <col min="73" max="73" width="24.8416666666667" style="7" customWidth="1"/>
    <col min="74" max="81" width="24.8416666666667" style="3" customWidth="1"/>
    <col min="82" max="82" width="16.675" style="7" customWidth="1"/>
    <col min="83" max="91" width="16.675" style="3" customWidth="1"/>
    <col min="92" max="92" width="22.675" style="7" customWidth="1"/>
    <col min="93" max="100" width="22.175" style="3" customWidth="1"/>
    <col min="101" max="101" width="22.175" style="7" customWidth="1"/>
    <col min="102" max="103" width="22.175" style="3" customWidth="1"/>
    <col min="104" max="104" width="22.175" style="13" customWidth="1"/>
    <col min="105" max="105" width="22.175" style="14" customWidth="1"/>
    <col min="106" max="107" width="22.175" style="15" customWidth="1"/>
    <col min="108" max="108" width="9" style="13"/>
    <col min="114" max="114" width="9" style="3"/>
  </cols>
  <sheetData>
    <row r="1" customFormat="1" ht="22.5" customHeight="1" spans="1:114">
      <c r="A1" s="16" t="s">
        <v>289</v>
      </c>
      <c r="B1" s="17" t="s">
        <v>2</v>
      </c>
      <c r="C1" s="18" t="s">
        <v>6</v>
      </c>
      <c r="D1" s="17" t="s">
        <v>7</v>
      </c>
      <c r="E1" s="17" t="s">
        <v>8</v>
      </c>
      <c r="F1" s="17" t="s">
        <v>9</v>
      </c>
      <c r="G1" s="19" t="s">
        <v>10</v>
      </c>
      <c r="H1" s="20" t="s">
        <v>290</v>
      </c>
      <c r="I1" s="20" t="s">
        <v>291</v>
      </c>
      <c r="J1" s="20" t="s">
        <v>292</v>
      </c>
      <c r="K1" s="20" t="s">
        <v>293</v>
      </c>
      <c r="L1" s="20" t="s">
        <v>294</v>
      </c>
      <c r="M1" s="20" t="s">
        <v>295</v>
      </c>
      <c r="N1" s="20" t="s">
        <v>296</v>
      </c>
      <c r="O1" s="20" t="s">
        <v>297</v>
      </c>
      <c r="P1" s="20" t="s">
        <v>298</v>
      </c>
      <c r="Q1" s="20" t="s">
        <v>299</v>
      </c>
      <c r="R1" s="21" t="s">
        <v>300</v>
      </c>
      <c r="S1" s="22" t="s">
        <v>301</v>
      </c>
      <c r="T1" s="22" t="s">
        <v>302</v>
      </c>
      <c r="U1" s="22" t="s">
        <v>303</v>
      </c>
      <c r="V1" s="22" t="s">
        <v>304</v>
      </c>
      <c r="W1" s="22" t="s">
        <v>305</v>
      </c>
      <c r="X1" s="22" t="s">
        <v>306</v>
      </c>
      <c r="Y1" s="23" t="s">
        <v>307</v>
      </c>
      <c r="Z1" s="23" t="s">
        <v>308</v>
      </c>
      <c r="AA1" s="22" t="s">
        <v>299</v>
      </c>
      <c r="AB1" s="24" t="s">
        <v>309</v>
      </c>
      <c r="AC1" s="25" t="s">
        <v>310</v>
      </c>
      <c r="AD1" s="25" t="s">
        <v>311</v>
      </c>
      <c r="AE1" s="25" t="s">
        <v>312</v>
      </c>
      <c r="AF1" s="25" t="s">
        <v>313</v>
      </c>
      <c r="AG1" s="25" t="s">
        <v>314</v>
      </c>
      <c r="AH1" s="25" t="s">
        <v>315</v>
      </c>
      <c r="AI1" s="25" t="s">
        <v>316</v>
      </c>
      <c r="AJ1" s="25" t="s">
        <v>317</v>
      </c>
      <c r="AK1" s="26" t="s">
        <v>318</v>
      </c>
      <c r="AL1" s="27" t="s">
        <v>319</v>
      </c>
      <c r="AM1" s="27" t="s">
        <v>320</v>
      </c>
      <c r="AN1" s="27" t="s">
        <v>321</v>
      </c>
      <c r="AO1" s="27" t="s">
        <v>322</v>
      </c>
      <c r="AP1" s="27" t="s">
        <v>323</v>
      </c>
      <c r="AQ1" s="27" t="s">
        <v>324</v>
      </c>
      <c r="AR1" s="27" t="s">
        <v>325</v>
      </c>
      <c r="AS1" s="27" t="s">
        <v>326</v>
      </c>
      <c r="AT1" s="28" t="s">
        <v>327</v>
      </c>
      <c r="AU1" s="29" t="s">
        <v>328</v>
      </c>
      <c r="AV1" s="29" t="s">
        <v>329</v>
      </c>
      <c r="AW1" s="29" t="s">
        <v>330</v>
      </c>
      <c r="AX1" s="29" t="s">
        <v>331</v>
      </c>
      <c r="AY1" s="29" t="s">
        <v>332</v>
      </c>
      <c r="AZ1" s="29" t="s">
        <v>333</v>
      </c>
      <c r="BA1" s="29" t="s">
        <v>334</v>
      </c>
      <c r="BB1" s="30" t="s">
        <v>335</v>
      </c>
      <c r="BC1" s="31" t="s">
        <v>336</v>
      </c>
      <c r="BD1" s="31" t="s">
        <v>337</v>
      </c>
      <c r="BE1" s="31" t="s">
        <v>338</v>
      </c>
      <c r="BF1" s="31" t="s">
        <v>339</v>
      </c>
      <c r="BG1" s="31" t="s">
        <v>340</v>
      </c>
      <c r="BH1" s="31" t="s">
        <v>341</v>
      </c>
      <c r="BI1" s="31" t="s">
        <v>342</v>
      </c>
      <c r="BJ1" s="31" t="s">
        <v>343</v>
      </c>
      <c r="BK1" s="31" t="s">
        <v>344</v>
      </c>
      <c r="BL1" s="32" t="s">
        <v>345</v>
      </c>
      <c r="BM1" s="33" t="s">
        <v>346</v>
      </c>
      <c r="BN1" s="33" t="s">
        <v>347</v>
      </c>
      <c r="BO1" s="33" t="s">
        <v>348</v>
      </c>
      <c r="BP1" s="33" t="s">
        <v>349</v>
      </c>
      <c r="BQ1" s="33" t="s">
        <v>350</v>
      </c>
      <c r="BR1" s="33" t="s">
        <v>351</v>
      </c>
      <c r="BS1" s="33" t="s">
        <v>352</v>
      </c>
      <c r="BT1" s="34" t="s">
        <v>353</v>
      </c>
      <c r="BU1" s="35" t="s">
        <v>354</v>
      </c>
      <c r="BV1" s="36" t="s">
        <v>355</v>
      </c>
      <c r="BW1" s="36" t="s">
        <v>356</v>
      </c>
      <c r="BX1" s="36" t="s">
        <v>357</v>
      </c>
      <c r="BY1" s="36" t="s">
        <v>358</v>
      </c>
      <c r="BZ1" s="36" t="s">
        <v>359</v>
      </c>
      <c r="CA1" s="36" t="s">
        <v>360</v>
      </c>
      <c r="CB1" s="36" t="s">
        <v>361</v>
      </c>
      <c r="CC1" s="36" t="s">
        <v>362</v>
      </c>
      <c r="CD1" s="37" t="s">
        <v>363</v>
      </c>
      <c r="CE1" s="38" t="s">
        <v>364</v>
      </c>
      <c r="CF1" s="38" t="s">
        <v>365</v>
      </c>
      <c r="CG1" s="38" t="s">
        <v>366</v>
      </c>
      <c r="CH1" s="38" t="s">
        <v>367</v>
      </c>
      <c r="CI1" s="38" t="s">
        <v>368</v>
      </c>
      <c r="CJ1" s="38" t="s">
        <v>369</v>
      </c>
      <c r="CK1" s="38" t="s">
        <v>370</v>
      </c>
      <c r="CL1" s="38" t="s">
        <v>371</v>
      </c>
      <c r="CM1" s="38" t="s">
        <v>372</v>
      </c>
      <c r="CN1" s="39" t="s">
        <v>373</v>
      </c>
      <c r="CO1" s="40" t="s">
        <v>374</v>
      </c>
      <c r="CP1" s="40" t="s">
        <v>375</v>
      </c>
      <c r="CQ1" s="40" t="s">
        <v>376</v>
      </c>
      <c r="CR1" s="40" t="s">
        <v>377</v>
      </c>
      <c r="CS1" s="40" t="s">
        <v>378</v>
      </c>
      <c r="CT1" s="40" t="s">
        <v>379</v>
      </c>
      <c r="CU1" s="40" t="s">
        <v>380</v>
      </c>
      <c r="CV1" s="40" t="s">
        <v>381</v>
      </c>
      <c r="CW1" s="41" t="s">
        <v>382</v>
      </c>
      <c r="CX1" s="42" t="s">
        <v>383</v>
      </c>
      <c r="CY1" s="42" t="s">
        <v>384</v>
      </c>
      <c r="CZ1" s="43" t="s">
        <v>385</v>
      </c>
      <c r="DA1" s="44" t="s">
        <v>386</v>
      </c>
      <c r="DB1" s="45" t="s">
        <v>387</v>
      </c>
      <c r="DC1" s="45" t="s">
        <v>388</v>
      </c>
      <c r="DD1" s="13"/>
      <c r="DE1"/>
      <c r="DF1"/>
      <c r="DG1"/>
      <c r="DH1"/>
      <c r="DI1"/>
      <c r="DJ1" s="3"/>
    </row>
    <row r="2" customFormat="1" ht="22.5" customHeight="1" spans="1:114">
      <c r="A2" s="46">
        <v>12073</v>
      </c>
      <c r="B2" s="47" t="s">
        <v>389</v>
      </c>
      <c r="C2" s="48">
        <v>46085</v>
      </c>
      <c r="D2" s="49">
        <f>IF(_xlfn.XLOOKUP(A2,[1]分配表!J:J,[1]分配表!M:M)=0,"未出单",_xlfn.XLOOKUP(A2,[1]分配表!J:J,[1]分配表!M:M))</f>
        <v>46093</v>
      </c>
      <c r="E2" s="50" t="str">
        <f>_xlfn.XLOOKUP(A2,[1]分配表!A:A,[1]分配表!C:C)</f>
        <v>朱培源</v>
      </c>
      <c r="F2" s="50" t="s">
        <v>44</v>
      </c>
      <c r="G2" s="50" t="s">
        <v>34</v>
      </c>
      <c r="H2" s="51">
        <v>0</v>
      </c>
      <c r="I2" s="51">
        <v>3</v>
      </c>
      <c r="J2" s="51">
        <v>3</v>
      </c>
      <c r="K2" s="51">
        <v>4</v>
      </c>
      <c r="L2" s="51">
        <v>0</v>
      </c>
      <c r="M2" s="51">
        <v>0</v>
      </c>
      <c r="N2" s="51">
        <v>1</v>
      </c>
      <c r="O2" s="51">
        <v>0</v>
      </c>
      <c r="P2" s="51">
        <v>1</v>
      </c>
      <c r="Q2" s="52">
        <f t="shared" ref="Q2:Q65" si="0">IFERROR(P2-O2,P2)</f>
        <v>1</v>
      </c>
      <c r="R2" s="53">
        <v>0</v>
      </c>
      <c r="S2" s="54">
        <v>1260</v>
      </c>
      <c r="T2" s="54">
        <v>1260</v>
      </c>
      <c r="U2" s="54">
        <v>1680</v>
      </c>
      <c r="V2" s="54">
        <v>0</v>
      </c>
      <c r="W2" s="54">
        <v>0</v>
      </c>
      <c r="X2" s="54">
        <v>420</v>
      </c>
      <c r="Y2" s="55">
        <v>0</v>
      </c>
      <c r="Z2" s="56">
        <v>420</v>
      </c>
      <c r="AA2" s="54">
        <f t="shared" ref="AA2:AA65" si="1">IFERROR(Z2-Y2,Z2)</f>
        <v>420</v>
      </c>
      <c r="AB2" s="57">
        <v>0</v>
      </c>
      <c r="AC2" s="51">
        <v>0</v>
      </c>
      <c r="AD2" s="51">
        <v>0</v>
      </c>
      <c r="AE2" s="51">
        <v>0</v>
      </c>
      <c r="AF2" s="51">
        <v>0</v>
      </c>
      <c r="AG2" s="51">
        <v>0</v>
      </c>
      <c r="AH2" s="51">
        <v>0</v>
      </c>
      <c r="AI2" s="51">
        <v>0</v>
      </c>
      <c r="AJ2" s="51">
        <v>0</v>
      </c>
      <c r="AK2" s="58" t="s">
        <v>390</v>
      </c>
      <c r="AL2" s="59">
        <v>1</v>
      </c>
      <c r="AM2" s="59">
        <v>1</v>
      </c>
      <c r="AN2" s="59">
        <v>1</v>
      </c>
      <c r="AO2" s="59">
        <v>0</v>
      </c>
      <c r="AP2" s="59">
        <v>0</v>
      </c>
      <c r="AQ2" s="59">
        <v>1</v>
      </c>
      <c r="AR2" s="59" t="s">
        <v>390</v>
      </c>
      <c r="AS2" s="59">
        <v>1</v>
      </c>
      <c r="AT2" s="60">
        <v>1</v>
      </c>
      <c r="AU2" s="61">
        <v>8</v>
      </c>
      <c r="AV2" s="61">
        <v>2</v>
      </c>
      <c r="AW2" s="61">
        <v>1</v>
      </c>
      <c r="AX2" s="61">
        <v>1</v>
      </c>
      <c r="AY2" s="61">
        <v>9</v>
      </c>
      <c r="AZ2" s="61">
        <v>9</v>
      </c>
      <c r="BA2" s="61">
        <v>16</v>
      </c>
      <c r="BB2" s="62">
        <v>23</v>
      </c>
      <c r="BC2" s="54" t="s">
        <v>120</v>
      </c>
      <c r="BD2" s="54" t="s">
        <v>391</v>
      </c>
      <c r="BE2" s="54" t="s">
        <v>391</v>
      </c>
      <c r="BF2" s="54" t="s">
        <v>391</v>
      </c>
      <c r="BG2" s="54" t="s">
        <v>391</v>
      </c>
      <c r="BH2" s="54" t="s">
        <v>391</v>
      </c>
      <c r="BI2" s="54" t="s">
        <v>391</v>
      </c>
      <c r="BJ2" s="54" t="s">
        <v>391</v>
      </c>
      <c r="BK2" s="54" t="s">
        <v>391</v>
      </c>
      <c r="BL2" s="53" t="s">
        <v>392</v>
      </c>
      <c r="BM2" s="54" t="s">
        <v>393</v>
      </c>
      <c r="BN2" s="54" t="s">
        <v>392</v>
      </c>
      <c r="BO2" s="54" t="s">
        <v>392</v>
      </c>
      <c r="BP2" s="54" t="s">
        <v>392</v>
      </c>
      <c r="BQ2" s="54" t="s">
        <v>392</v>
      </c>
      <c r="BR2" s="54" t="s">
        <v>392</v>
      </c>
      <c r="BS2" s="54" t="s">
        <v>392</v>
      </c>
      <c r="BT2" s="63" t="s">
        <v>392</v>
      </c>
      <c r="BU2" s="53" t="s">
        <v>392</v>
      </c>
      <c r="BV2" s="54" t="s">
        <v>392</v>
      </c>
      <c r="BW2" s="54" t="s">
        <v>392</v>
      </c>
      <c r="BX2" s="54" t="s">
        <v>392</v>
      </c>
      <c r="BY2" s="54" t="s">
        <v>392</v>
      </c>
      <c r="BZ2" s="54" t="s">
        <v>392</v>
      </c>
      <c r="CA2" s="54" t="s">
        <v>392</v>
      </c>
      <c r="CB2" s="54" t="s">
        <v>392</v>
      </c>
      <c r="CC2" s="54" t="s">
        <v>392</v>
      </c>
      <c r="CD2" s="57" t="s">
        <v>394</v>
      </c>
      <c r="CE2" s="51" t="s">
        <v>394</v>
      </c>
      <c r="CF2" s="51" t="s">
        <v>392</v>
      </c>
      <c r="CG2" s="51" t="s">
        <v>392</v>
      </c>
      <c r="CH2" s="51" t="s">
        <v>392</v>
      </c>
      <c r="CI2" s="51" t="s">
        <v>392</v>
      </c>
      <c r="CJ2" s="51" t="s">
        <v>394</v>
      </c>
      <c r="CK2" s="51" t="s">
        <v>392</v>
      </c>
      <c r="CL2" s="51" t="s">
        <v>394</v>
      </c>
      <c r="CM2" s="51" t="s">
        <v>392</v>
      </c>
      <c r="CN2" s="57" t="s">
        <v>395</v>
      </c>
      <c r="CO2" s="51" t="s">
        <v>396</v>
      </c>
      <c r="CP2" s="51" t="s">
        <v>397</v>
      </c>
      <c r="CQ2" s="51" t="s">
        <v>396</v>
      </c>
      <c r="CR2" s="51" t="s">
        <v>396</v>
      </c>
      <c r="CS2" s="51" t="s">
        <v>396</v>
      </c>
      <c r="CT2" s="51" t="s">
        <v>396</v>
      </c>
      <c r="CU2" s="51" t="s">
        <v>396</v>
      </c>
      <c r="CV2" s="51" t="s">
        <v>396</v>
      </c>
      <c r="CW2" s="57" t="s">
        <v>398</v>
      </c>
      <c r="CX2" s="51" t="s">
        <v>398</v>
      </c>
      <c r="CY2" s="51" t="s">
        <v>398</v>
      </c>
      <c r="CZ2" s="64" t="str">
        <f>IF(_xlfn.XLOOKUP(B2,[2]累计数据!$C$193:$C$245,[2]累计数据!$C$193:$C$245,"N")=B2,"Y","N")</f>
        <v>N</v>
      </c>
      <c r="DA2" s="58">
        <v>0.045</v>
      </c>
      <c r="DB2" s="59">
        <v>0.02</v>
      </c>
      <c r="DC2" s="59">
        <v>0.02</v>
      </c>
      <c r="DD2" s="65"/>
      <c r="DE2"/>
      <c r="DF2"/>
      <c r="DG2"/>
      <c r="DH2"/>
      <c r="DI2"/>
      <c r="DJ2" s="3"/>
    </row>
    <row r="3" customFormat="1" ht="22.5" customHeight="1" spans="1:114">
      <c r="A3" s="46">
        <v>12074</v>
      </c>
      <c r="B3" s="47" t="s">
        <v>399</v>
      </c>
      <c r="C3" s="48">
        <v>46085</v>
      </c>
      <c r="D3" s="49">
        <f>IF(_xlfn.XLOOKUP(A3,[1]分配表!J:J,[1]分配表!M:M)=0,"未出单",_xlfn.XLOOKUP(A3,[1]分配表!J:J,[1]分配表!M:M))</f>
        <v>46085</v>
      </c>
      <c r="E3" s="50" t="str">
        <f>_xlfn.XLOOKUP(A3,[1]分配表!A:A,[1]分配表!C:C)</f>
        <v>朱培源</v>
      </c>
      <c r="F3" s="50" t="s">
        <v>44</v>
      </c>
      <c r="G3" s="50" t="s">
        <v>45</v>
      </c>
      <c r="H3" s="51">
        <v>8</v>
      </c>
      <c r="I3" s="51">
        <v>12</v>
      </c>
      <c r="J3" s="51">
        <v>5</v>
      </c>
      <c r="K3" s="51">
        <v>6</v>
      </c>
      <c r="L3" s="51">
        <v>3</v>
      </c>
      <c r="M3" s="51">
        <v>3</v>
      </c>
      <c r="N3" s="51">
        <v>9</v>
      </c>
      <c r="O3" s="51">
        <v>9</v>
      </c>
      <c r="P3" s="51">
        <v>8</v>
      </c>
      <c r="Q3" s="52">
        <f t="shared" si="0"/>
        <v>-1</v>
      </c>
      <c r="R3" s="53">
        <v>1760</v>
      </c>
      <c r="S3" s="54">
        <v>2640</v>
      </c>
      <c r="T3" s="54">
        <v>1080</v>
      </c>
      <c r="U3" s="54">
        <v>1320</v>
      </c>
      <c r="V3" s="54">
        <v>675</v>
      </c>
      <c r="W3" s="54">
        <v>679.1</v>
      </c>
      <c r="X3" s="54">
        <v>2147.72</v>
      </c>
      <c r="Y3" s="55">
        <v>2196.8</v>
      </c>
      <c r="Z3" s="56">
        <v>2010.88</v>
      </c>
      <c r="AA3" s="54">
        <f t="shared" si="1"/>
        <v>-185.92</v>
      </c>
      <c r="AB3" s="57">
        <v>0</v>
      </c>
      <c r="AC3" s="51">
        <v>1</v>
      </c>
      <c r="AD3" s="51">
        <v>0</v>
      </c>
      <c r="AE3" s="51">
        <v>0</v>
      </c>
      <c r="AF3" s="51">
        <v>0</v>
      </c>
      <c r="AG3" s="51">
        <v>0</v>
      </c>
      <c r="AH3" s="51">
        <v>0</v>
      </c>
      <c r="AI3" s="51">
        <v>0</v>
      </c>
      <c r="AJ3" s="51">
        <v>0</v>
      </c>
      <c r="AK3" s="58">
        <v>1</v>
      </c>
      <c r="AL3" s="59">
        <v>0.9</v>
      </c>
      <c r="AM3" s="59">
        <v>1</v>
      </c>
      <c r="AN3" s="59">
        <v>1</v>
      </c>
      <c r="AO3" s="59">
        <v>1</v>
      </c>
      <c r="AP3" s="59">
        <v>1</v>
      </c>
      <c r="AQ3" s="59">
        <v>1</v>
      </c>
      <c r="AR3" s="59">
        <v>1</v>
      </c>
      <c r="AS3" s="59">
        <v>1</v>
      </c>
      <c r="AT3" s="60">
        <v>5</v>
      </c>
      <c r="AU3" s="61">
        <v>12</v>
      </c>
      <c r="AV3" s="61">
        <v>2</v>
      </c>
      <c r="AW3" s="61">
        <v>1</v>
      </c>
      <c r="AX3" s="61">
        <v>7</v>
      </c>
      <c r="AY3" s="61">
        <v>6</v>
      </c>
      <c r="AZ3" s="61">
        <v>12</v>
      </c>
      <c r="BA3" s="61">
        <v>19</v>
      </c>
      <c r="BB3" s="62">
        <v>26</v>
      </c>
      <c r="BC3" s="54" t="s">
        <v>391</v>
      </c>
      <c r="BD3" s="54" t="s">
        <v>391</v>
      </c>
      <c r="BE3" s="54" t="s">
        <v>391</v>
      </c>
      <c r="BF3" s="54" t="s">
        <v>391</v>
      </c>
      <c r="BG3" s="54" t="s">
        <v>391</v>
      </c>
      <c r="BH3" s="54" t="s">
        <v>391</v>
      </c>
      <c r="BI3" s="54" t="s">
        <v>391</v>
      </c>
      <c r="BJ3" s="54" t="s">
        <v>391</v>
      </c>
      <c r="BK3" s="54" t="s">
        <v>391</v>
      </c>
      <c r="BL3" s="53" t="s">
        <v>392</v>
      </c>
      <c r="BM3" s="54" t="s">
        <v>393</v>
      </c>
      <c r="BN3" s="54" t="s">
        <v>392</v>
      </c>
      <c r="BO3" s="54" t="s">
        <v>392</v>
      </c>
      <c r="BP3" s="54" t="s">
        <v>392</v>
      </c>
      <c r="BQ3" s="54" t="s">
        <v>392</v>
      </c>
      <c r="BR3" s="54" t="s">
        <v>392</v>
      </c>
      <c r="BS3" s="54" t="s">
        <v>392</v>
      </c>
      <c r="BT3" s="63" t="s">
        <v>392</v>
      </c>
      <c r="BU3" s="53" t="s">
        <v>393</v>
      </c>
      <c r="BV3" s="54" t="s">
        <v>392</v>
      </c>
      <c r="BW3" s="54" t="s">
        <v>392</v>
      </c>
      <c r="BX3" s="54" t="s">
        <v>392</v>
      </c>
      <c r="BY3" s="54" t="s">
        <v>392</v>
      </c>
      <c r="BZ3" s="54" t="s">
        <v>392</v>
      </c>
      <c r="CA3" s="54" t="s">
        <v>392</v>
      </c>
      <c r="CB3" s="54" t="s">
        <v>392</v>
      </c>
      <c r="CC3" s="54" t="s">
        <v>392</v>
      </c>
      <c r="CD3" s="57" t="s">
        <v>394</v>
      </c>
      <c r="CE3" s="51" t="s">
        <v>392</v>
      </c>
      <c r="CF3" s="51" t="s">
        <v>392</v>
      </c>
      <c r="CG3" s="51" t="s">
        <v>392</v>
      </c>
      <c r="CH3" s="51" t="s">
        <v>392</v>
      </c>
      <c r="CI3" s="51" t="s">
        <v>392</v>
      </c>
      <c r="CJ3" s="51" t="s">
        <v>392</v>
      </c>
      <c r="CK3" s="51" t="s">
        <v>392</v>
      </c>
      <c r="CL3" s="51" t="s">
        <v>392</v>
      </c>
      <c r="CM3" s="51" t="s">
        <v>392</v>
      </c>
      <c r="CN3" s="57" t="s">
        <v>400</v>
      </c>
      <c r="CO3" s="51" t="s">
        <v>400</v>
      </c>
      <c r="CP3" s="51" t="s">
        <v>397</v>
      </c>
      <c r="CQ3" s="51" t="s">
        <v>396</v>
      </c>
      <c r="CR3" s="51" t="s">
        <v>396</v>
      </c>
      <c r="CS3" s="51" t="s">
        <v>396</v>
      </c>
      <c r="CT3" s="51" t="s">
        <v>396</v>
      </c>
      <c r="CU3" s="51" t="s">
        <v>396</v>
      </c>
      <c r="CV3" s="51" t="s">
        <v>396</v>
      </c>
      <c r="CW3" s="57" t="s">
        <v>398</v>
      </c>
      <c r="CX3" s="51" t="s">
        <v>398</v>
      </c>
      <c r="CY3" s="51" t="s">
        <v>398</v>
      </c>
      <c r="CZ3" s="64" t="str">
        <f>IF(_xlfn.XLOOKUP(B3,[2]累计数据!$C$193:$C$245,[2]累计数据!$C$193:$C$245,"N")=B3,"Y","N")</f>
        <v>N</v>
      </c>
      <c r="DA3" s="58">
        <v>0.05</v>
      </c>
      <c r="DB3" s="59">
        <v>0.02</v>
      </c>
      <c r="DC3" s="59">
        <v>0.02</v>
      </c>
      <c r="DD3" s="65"/>
      <c r="DE3"/>
      <c r="DF3"/>
      <c r="DG3"/>
      <c r="DH3"/>
      <c r="DI3"/>
      <c r="DJ3" s="3"/>
    </row>
    <row r="4" customFormat="1" ht="22.5" customHeight="1" spans="1:114">
      <c r="A4" s="46">
        <v>12075</v>
      </c>
      <c r="B4" s="47" t="s">
        <v>401</v>
      </c>
      <c r="C4" s="48">
        <v>46085</v>
      </c>
      <c r="D4" s="49">
        <f>IF(_xlfn.XLOOKUP(A4,[1]分配表!J:J,[1]分配表!M:M)=0,"未出单",_xlfn.XLOOKUP(A4,[1]分配表!J:J,[1]分配表!M:M))</f>
        <v>46085</v>
      </c>
      <c r="E4" s="50" t="str">
        <f>_xlfn.XLOOKUP(A4,[1]分配表!A:A,[1]分配表!C:C)</f>
        <v>朱培源</v>
      </c>
      <c r="F4" s="50" t="s">
        <v>44</v>
      </c>
      <c r="G4" s="50" t="s">
        <v>45</v>
      </c>
      <c r="H4" s="51">
        <v>1</v>
      </c>
      <c r="I4" s="51">
        <v>2</v>
      </c>
      <c r="J4" s="51">
        <v>0</v>
      </c>
      <c r="K4" s="51">
        <v>0</v>
      </c>
      <c r="L4" s="51">
        <v>0</v>
      </c>
      <c r="M4" s="51">
        <v>1</v>
      </c>
      <c r="N4" s="51">
        <v>0</v>
      </c>
      <c r="O4" s="51">
        <v>0</v>
      </c>
      <c r="P4" s="51">
        <v>1</v>
      </c>
      <c r="Q4" s="52">
        <f t="shared" si="0"/>
        <v>1</v>
      </c>
      <c r="R4" s="53">
        <v>220</v>
      </c>
      <c r="S4" s="54">
        <v>440</v>
      </c>
      <c r="T4" s="54">
        <v>0</v>
      </c>
      <c r="U4" s="54">
        <v>0</v>
      </c>
      <c r="V4" s="54">
        <v>0</v>
      </c>
      <c r="W4" s="54">
        <v>220</v>
      </c>
      <c r="X4" s="54">
        <v>0</v>
      </c>
      <c r="Y4" s="55">
        <v>0</v>
      </c>
      <c r="Z4" s="56">
        <v>220</v>
      </c>
      <c r="AA4" s="54">
        <f t="shared" si="1"/>
        <v>220</v>
      </c>
      <c r="AB4" s="57">
        <v>0</v>
      </c>
      <c r="AC4" s="51">
        <v>0</v>
      </c>
      <c r="AD4" s="51">
        <v>0</v>
      </c>
      <c r="AE4" s="51">
        <v>0</v>
      </c>
      <c r="AF4" s="51">
        <v>0</v>
      </c>
      <c r="AG4" s="51">
        <v>0</v>
      </c>
      <c r="AH4" s="51">
        <v>0</v>
      </c>
      <c r="AI4" s="51">
        <v>0</v>
      </c>
      <c r="AJ4" s="51">
        <v>0</v>
      </c>
      <c r="AK4" s="58">
        <v>1</v>
      </c>
      <c r="AL4" s="59">
        <v>1</v>
      </c>
      <c r="AM4" s="59" t="s">
        <v>390</v>
      </c>
      <c r="AN4" s="59">
        <v>0</v>
      </c>
      <c r="AO4" s="59">
        <v>0</v>
      </c>
      <c r="AP4" s="59">
        <v>1</v>
      </c>
      <c r="AQ4" s="59" t="s">
        <v>390</v>
      </c>
      <c r="AR4" s="59" t="s">
        <v>390</v>
      </c>
      <c r="AS4" s="59">
        <v>1</v>
      </c>
      <c r="AT4" s="60">
        <v>5</v>
      </c>
      <c r="AU4" s="61">
        <v>12</v>
      </c>
      <c r="AV4" s="61">
        <v>2</v>
      </c>
      <c r="AW4" s="61">
        <v>1</v>
      </c>
      <c r="AX4" s="61">
        <v>1</v>
      </c>
      <c r="AY4" s="61">
        <v>9</v>
      </c>
      <c r="AZ4" s="61">
        <v>15</v>
      </c>
      <c r="BA4" s="61">
        <v>22</v>
      </c>
      <c r="BB4" s="62">
        <v>29</v>
      </c>
      <c r="BC4" s="54" t="s">
        <v>391</v>
      </c>
      <c r="BD4" s="54" t="s">
        <v>391</v>
      </c>
      <c r="BE4" s="54" t="s">
        <v>391</v>
      </c>
      <c r="BF4" s="54" t="s">
        <v>391</v>
      </c>
      <c r="BG4" s="54" t="s">
        <v>391</v>
      </c>
      <c r="BH4" s="54" t="s">
        <v>391</v>
      </c>
      <c r="BI4" s="54" t="s">
        <v>391</v>
      </c>
      <c r="BJ4" s="54" t="s">
        <v>391</v>
      </c>
      <c r="BK4" s="54" t="s">
        <v>391</v>
      </c>
      <c r="BL4" s="53" t="s">
        <v>392</v>
      </c>
      <c r="BM4" s="54" t="s">
        <v>393</v>
      </c>
      <c r="BN4" s="54" t="s">
        <v>392</v>
      </c>
      <c r="BO4" s="54" t="s">
        <v>392</v>
      </c>
      <c r="BP4" s="54" t="s">
        <v>392</v>
      </c>
      <c r="BQ4" s="54" t="s">
        <v>392</v>
      </c>
      <c r="BR4" s="54" t="s">
        <v>392</v>
      </c>
      <c r="BS4" s="54" t="s">
        <v>392</v>
      </c>
      <c r="BT4" s="63" t="s">
        <v>392</v>
      </c>
      <c r="BU4" s="53" t="s">
        <v>393</v>
      </c>
      <c r="BV4" s="54" t="s">
        <v>392</v>
      </c>
      <c r="BW4" s="54" t="s">
        <v>392</v>
      </c>
      <c r="BX4" s="54" t="s">
        <v>392</v>
      </c>
      <c r="BY4" s="54" t="s">
        <v>392</v>
      </c>
      <c r="BZ4" s="54" t="s">
        <v>392</v>
      </c>
      <c r="CA4" s="54" t="s">
        <v>392</v>
      </c>
      <c r="CB4" s="54" t="s">
        <v>392</v>
      </c>
      <c r="CC4" s="54" t="s">
        <v>392</v>
      </c>
      <c r="CD4" s="57" t="s">
        <v>394</v>
      </c>
      <c r="CE4" s="51" t="s">
        <v>392</v>
      </c>
      <c r="CF4" s="51" t="s">
        <v>392</v>
      </c>
      <c r="CG4" s="51" t="s">
        <v>392</v>
      </c>
      <c r="CH4" s="51" t="s">
        <v>394</v>
      </c>
      <c r="CI4" s="51" t="s">
        <v>394</v>
      </c>
      <c r="CJ4" s="51" t="s">
        <v>392</v>
      </c>
      <c r="CK4" s="51" t="s">
        <v>394</v>
      </c>
      <c r="CL4" s="51" t="s">
        <v>394</v>
      </c>
      <c r="CM4" s="51" t="s">
        <v>392</v>
      </c>
      <c r="CN4" s="57" t="s">
        <v>400</v>
      </c>
      <c r="CO4" s="51" t="s">
        <v>400</v>
      </c>
      <c r="CP4" s="51" t="s">
        <v>397</v>
      </c>
      <c r="CQ4" s="51" t="s">
        <v>396</v>
      </c>
      <c r="CR4" s="51" t="s">
        <v>396</v>
      </c>
      <c r="CS4" s="51" t="s">
        <v>396</v>
      </c>
      <c r="CT4" s="51" t="s">
        <v>396</v>
      </c>
      <c r="CU4" s="51" t="s">
        <v>396</v>
      </c>
      <c r="CV4" s="51" t="s">
        <v>396</v>
      </c>
      <c r="CW4" s="57" t="s">
        <v>398</v>
      </c>
      <c r="CX4" s="51" t="s">
        <v>398</v>
      </c>
      <c r="CY4" s="51" t="s">
        <v>398</v>
      </c>
      <c r="CZ4" s="64" t="str">
        <f>IF(_xlfn.XLOOKUP(B4,[2]累计数据!$C$193:$C$245,[2]累计数据!$C$193:$C$245,"N")=B4,"Y","N")</f>
        <v>N</v>
      </c>
      <c r="DA4" s="58">
        <v>0.045</v>
      </c>
      <c r="DB4" s="59">
        <v>0.02</v>
      </c>
      <c r="DC4" s="59">
        <v>0.02</v>
      </c>
      <c r="DD4" s="65"/>
      <c r="DE4"/>
      <c r="DF4"/>
      <c r="DG4"/>
      <c r="DH4"/>
      <c r="DI4"/>
      <c r="DJ4" s="3"/>
    </row>
    <row r="5" customFormat="1" ht="22.5" customHeight="1" spans="1:114">
      <c r="A5" s="66">
        <v>12252</v>
      </c>
      <c r="B5" s="67" t="s">
        <v>177</v>
      </c>
      <c r="C5" s="68">
        <v>46085</v>
      </c>
      <c r="D5" s="49">
        <f>IF(_xlfn.XLOOKUP(A5,[1]分配表!J:J,[1]分配表!M:M)=0,"未出单",_xlfn.XLOOKUP(A5,[1]分配表!J:J,[1]分配表!M:M))</f>
        <v>46089</v>
      </c>
      <c r="E5" s="50" t="str">
        <f>_xlfn.XLOOKUP(A5,[1]分配表!A:A,[1]分配表!C:C)</f>
        <v>胡煜星</v>
      </c>
      <c r="F5" s="50" t="s">
        <v>44</v>
      </c>
      <c r="G5" s="50" t="s">
        <v>34</v>
      </c>
      <c r="H5" s="51">
        <v>3</v>
      </c>
      <c r="I5" s="51">
        <v>4</v>
      </c>
      <c r="J5" s="51">
        <v>2</v>
      </c>
      <c r="K5" s="51">
        <v>1</v>
      </c>
      <c r="L5" s="51">
        <v>0</v>
      </c>
      <c r="M5" s="51">
        <v>0</v>
      </c>
      <c r="N5" s="51">
        <v>1</v>
      </c>
      <c r="O5" s="51">
        <v>0</v>
      </c>
      <c r="P5" s="51">
        <v>1</v>
      </c>
      <c r="Q5" s="52">
        <f t="shared" si="0"/>
        <v>1</v>
      </c>
      <c r="R5" s="53">
        <v>122</v>
      </c>
      <c r="S5" s="54">
        <v>160</v>
      </c>
      <c r="T5" s="54">
        <v>80</v>
      </c>
      <c r="U5" s="54">
        <v>40</v>
      </c>
      <c r="V5" s="54">
        <v>0</v>
      </c>
      <c r="W5" s="54">
        <v>0</v>
      </c>
      <c r="X5" s="54">
        <v>40</v>
      </c>
      <c r="Y5" s="55">
        <v>0</v>
      </c>
      <c r="Z5" s="56">
        <v>40</v>
      </c>
      <c r="AA5" s="54">
        <f t="shared" si="1"/>
        <v>40</v>
      </c>
      <c r="AB5" s="57">
        <v>11</v>
      </c>
      <c r="AC5" s="51">
        <v>1</v>
      </c>
      <c r="AD5" s="51">
        <v>4</v>
      </c>
      <c r="AE5" s="51">
        <v>10</v>
      </c>
      <c r="AF5" s="51">
        <v>1</v>
      </c>
      <c r="AG5" s="51">
        <v>12</v>
      </c>
      <c r="AH5" s="51">
        <v>12</v>
      </c>
      <c r="AI5" s="51">
        <v>9</v>
      </c>
      <c r="AJ5" s="51">
        <v>7</v>
      </c>
      <c r="AK5" s="58">
        <v>0.214285714285714</v>
      </c>
      <c r="AL5" s="59">
        <v>0.8571</v>
      </c>
      <c r="AM5" s="59">
        <v>0.333333333333333</v>
      </c>
      <c r="AN5" s="59">
        <v>0.0909090909090909</v>
      </c>
      <c r="AO5" s="59">
        <v>0</v>
      </c>
      <c r="AP5" s="59">
        <v>0</v>
      </c>
      <c r="AQ5" s="59">
        <v>0.0769</v>
      </c>
      <c r="AR5" s="59">
        <v>0</v>
      </c>
      <c r="AS5" s="59">
        <v>0.125</v>
      </c>
      <c r="AT5" s="60">
        <v>1</v>
      </c>
      <c r="AU5" s="61">
        <v>1</v>
      </c>
      <c r="AV5" s="61">
        <v>0</v>
      </c>
      <c r="AW5" s="61">
        <v>8</v>
      </c>
      <c r="AX5" s="61">
        <v>0</v>
      </c>
      <c r="AY5" s="61">
        <v>5</v>
      </c>
      <c r="AZ5" s="61">
        <v>6</v>
      </c>
      <c r="BA5" s="61">
        <v>13</v>
      </c>
      <c r="BB5" s="62">
        <v>0</v>
      </c>
      <c r="BC5" s="54" t="s">
        <v>391</v>
      </c>
      <c r="BD5" s="54" t="s">
        <v>391</v>
      </c>
      <c r="BE5" s="54" t="s">
        <v>391</v>
      </c>
      <c r="BF5" s="54" t="s">
        <v>391</v>
      </c>
      <c r="BG5" s="54" t="s">
        <v>391</v>
      </c>
      <c r="BH5" s="54" t="s">
        <v>391</v>
      </c>
      <c r="BI5" s="54" t="s">
        <v>391</v>
      </c>
      <c r="BJ5" s="54" t="s">
        <v>391</v>
      </c>
      <c r="BK5" s="54" t="s">
        <v>391</v>
      </c>
      <c r="BL5" s="53" t="s">
        <v>392</v>
      </c>
      <c r="BM5" s="54" t="s">
        <v>392</v>
      </c>
      <c r="BN5" s="54" t="s">
        <v>392</v>
      </c>
      <c r="BO5" s="54" t="s">
        <v>393</v>
      </c>
      <c r="BP5" s="54" t="s">
        <v>392</v>
      </c>
      <c r="BQ5" s="54" t="s">
        <v>392</v>
      </c>
      <c r="BR5" s="54" t="s">
        <v>392</v>
      </c>
      <c r="BS5" s="54" t="s">
        <v>393</v>
      </c>
      <c r="BT5" s="63" t="s">
        <v>392</v>
      </c>
      <c r="BU5" s="53" t="s">
        <v>392</v>
      </c>
      <c r="BV5" s="54" t="s">
        <v>392</v>
      </c>
      <c r="BW5" s="54" t="s">
        <v>392</v>
      </c>
      <c r="BX5" s="54" t="s">
        <v>392</v>
      </c>
      <c r="BY5" s="54" t="s">
        <v>392</v>
      </c>
      <c r="BZ5" s="54" t="s">
        <v>392</v>
      </c>
      <c r="CA5" s="54" t="s">
        <v>392</v>
      </c>
      <c r="CB5" s="54" t="s">
        <v>392</v>
      </c>
      <c r="CC5" s="54" t="s">
        <v>392</v>
      </c>
      <c r="CD5" s="57" t="s">
        <v>394</v>
      </c>
      <c r="CE5" s="51" t="s">
        <v>402</v>
      </c>
      <c r="CF5" s="51" t="s">
        <v>392</v>
      </c>
      <c r="CG5" s="51" t="s">
        <v>402</v>
      </c>
      <c r="CH5" s="51" t="s">
        <v>402</v>
      </c>
      <c r="CI5" s="51" t="s">
        <v>402</v>
      </c>
      <c r="CJ5" s="51" t="s">
        <v>402</v>
      </c>
      <c r="CK5" s="51" t="s">
        <v>402</v>
      </c>
      <c r="CL5" s="51" t="s">
        <v>402</v>
      </c>
      <c r="CM5" s="51" t="s">
        <v>402</v>
      </c>
      <c r="CN5" s="57" t="s">
        <v>395</v>
      </c>
      <c r="CO5" s="51" t="s">
        <v>396</v>
      </c>
      <c r="CP5" s="51" t="s">
        <v>396</v>
      </c>
      <c r="CQ5" s="51" t="s">
        <v>403</v>
      </c>
      <c r="CR5" s="51" t="s">
        <v>396</v>
      </c>
      <c r="CS5" s="51" t="s">
        <v>396</v>
      </c>
      <c r="CT5" s="51" t="s">
        <v>396</v>
      </c>
      <c r="CU5" s="51" t="s">
        <v>396</v>
      </c>
      <c r="CV5" s="51" t="s">
        <v>404</v>
      </c>
      <c r="CW5" s="57" t="s">
        <v>391</v>
      </c>
      <c r="CX5" s="51" t="s">
        <v>391</v>
      </c>
      <c r="CY5" s="51" t="s">
        <v>391</v>
      </c>
      <c r="CZ5" s="64" t="str">
        <f>IF(_xlfn.XLOOKUP(B5,[2]累计数据!$C$193:$C$245,[2]累计数据!$C$193:$C$245,"N")=B5,"Y","N")</f>
        <v>N</v>
      </c>
      <c r="DA5" s="58">
        <v>0.08</v>
      </c>
      <c r="DB5" s="59">
        <v>0.07</v>
      </c>
      <c r="DC5" s="59">
        <v>0.05</v>
      </c>
      <c r="DD5" s="65"/>
      <c r="DE5"/>
      <c r="DF5"/>
      <c r="DG5"/>
      <c r="DH5"/>
      <c r="DI5"/>
      <c r="DJ5" s="3"/>
    </row>
    <row r="6" customFormat="1" ht="22.5" customHeight="1" spans="1:114">
      <c r="A6" s="46">
        <v>12165</v>
      </c>
      <c r="B6" s="47" t="s">
        <v>405</v>
      </c>
      <c r="C6" s="48">
        <v>46085</v>
      </c>
      <c r="D6" s="49">
        <f>IF(_xlfn.XLOOKUP(A6,[1]分配表!J:J,[1]分配表!M:M)=0,"未出单",_xlfn.XLOOKUP(A6,[1]分配表!J:J,[1]分配表!M:M))</f>
        <v>46093</v>
      </c>
      <c r="E6" s="50" t="str">
        <f>_xlfn.XLOOKUP(A6,[1]分配表!A:A,[1]分配表!C:C)</f>
        <v>朱培源</v>
      </c>
      <c r="F6" s="50" t="s">
        <v>97</v>
      </c>
      <c r="G6" s="50" t="s">
        <v>34</v>
      </c>
      <c r="H6" s="51">
        <v>0</v>
      </c>
      <c r="I6" s="51">
        <v>2</v>
      </c>
      <c r="J6" s="51">
        <v>0</v>
      </c>
      <c r="K6" s="51">
        <v>0</v>
      </c>
      <c r="L6" s="51">
        <v>0</v>
      </c>
      <c r="M6" s="51">
        <v>1</v>
      </c>
      <c r="N6" s="51">
        <v>2</v>
      </c>
      <c r="O6" s="51">
        <v>0</v>
      </c>
      <c r="P6" s="51">
        <v>1</v>
      </c>
      <c r="Q6" s="52">
        <f t="shared" si="0"/>
        <v>1</v>
      </c>
      <c r="R6" s="53">
        <v>0</v>
      </c>
      <c r="S6" s="54">
        <v>338</v>
      </c>
      <c r="T6" s="54">
        <v>0</v>
      </c>
      <c r="U6" s="54">
        <v>0</v>
      </c>
      <c r="V6" s="54">
        <v>0</v>
      </c>
      <c r="W6" s="54">
        <v>169</v>
      </c>
      <c r="X6" s="54">
        <v>338</v>
      </c>
      <c r="Y6" s="55">
        <v>0</v>
      </c>
      <c r="Z6" s="56">
        <v>169</v>
      </c>
      <c r="AA6" s="54">
        <f t="shared" si="1"/>
        <v>169</v>
      </c>
      <c r="AB6" s="57">
        <v>0</v>
      </c>
      <c r="AC6" s="51">
        <v>0</v>
      </c>
      <c r="AD6" s="51">
        <v>1</v>
      </c>
      <c r="AE6" s="51">
        <v>0</v>
      </c>
      <c r="AF6" s="51">
        <v>3</v>
      </c>
      <c r="AG6" s="51">
        <v>6</v>
      </c>
      <c r="AH6" s="51">
        <v>3</v>
      </c>
      <c r="AI6" s="51">
        <v>3</v>
      </c>
      <c r="AJ6" s="51">
        <v>1</v>
      </c>
      <c r="AK6" s="58" t="s">
        <v>390</v>
      </c>
      <c r="AL6" s="59">
        <v>1</v>
      </c>
      <c r="AM6" s="59">
        <v>0</v>
      </c>
      <c r="AN6" s="59">
        <v>0</v>
      </c>
      <c r="AO6" s="59">
        <v>0</v>
      </c>
      <c r="AP6" s="59">
        <v>0.142857142857143</v>
      </c>
      <c r="AQ6" s="59">
        <v>0.4</v>
      </c>
      <c r="AR6" s="59">
        <v>0</v>
      </c>
      <c r="AS6" s="59">
        <v>0</v>
      </c>
      <c r="AT6" s="60">
        <v>5</v>
      </c>
      <c r="AU6" s="61">
        <v>1</v>
      </c>
      <c r="AV6" s="61">
        <v>2</v>
      </c>
      <c r="AW6" s="61">
        <v>1</v>
      </c>
      <c r="AX6" s="61">
        <v>7</v>
      </c>
      <c r="AY6" s="61">
        <v>6</v>
      </c>
      <c r="AZ6" s="61">
        <v>5</v>
      </c>
      <c r="BA6" s="61">
        <v>12</v>
      </c>
      <c r="BB6" s="62">
        <v>19</v>
      </c>
      <c r="BC6" s="54" t="s">
        <v>120</v>
      </c>
      <c r="BD6" s="54" t="s">
        <v>391</v>
      </c>
      <c r="BE6" s="54" t="s">
        <v>391</v>
      </c>
      <c r="BF6" s="54" t="s">
        <v>391</v>
      </c>
      <c r="BG6" s="54" t="s">
        <v>391</v>
      </c>
      <c r="BH6" s="54" t="s">
        <v>391</v>
      </c>
      <c r="BI6" s="54" t="s">
        <v>391</v>
      </c>
      <c r="BJ6" s="54" t="s">
        <v>391</v>
      </c>
      <c r="BK6" s="54" t="s">
        <v>391</v>
      </c>
      <c r="BL6" s="53" t="s">
        <v>392</v>
      </c>
      <c r="BM6" s="54" t="s">
        <v>392</v>
      </c>
      <c r="BN6" s="54" t="s">
        <v>392</v>
      </c>
      <c r="BO6" s="54" t="s">
        <v>392</v>
      </c>
      <c r="BP6" s="54" t="s">
        <v>393</v>
      </c>
      <c r="BQ6" s="54" t="s">
        <v>392</v>
      </c>
      <c r="BR6" s="54" t="s">
        <v>392</v>
      </c>
      <c r="BS6" s="54" t="s">
        <v>393</v>
      </c>
      <c r="BT6" s="63" t="s">
        <v>393</v>
      </c>
      <c r="BU6" s="53" t="s">
        <v>393</v>
      </c>
      <c r="BV6" s="54" t="s">
        <v>392</v>
      </c>
      <c r="BW6" s="54" t="s">
        <v>392</v>
      </c>
      <c r="BX6" s="54" t="s">
        <v>392</v>
      </c>
      <c r="BY6" s="54" t="s">
        <v>392</v>
      </c>
      <c r="BZ6" s="54" t="s">
        <v>392</v>
      </c>
      <c r="CA6" s="54" t="s">
        <v>392</v>
      </c>
      <c r="CB6" s="54" t="s">
        <v>392</v>
      </c>
      <c r="CC6" s="54" t="s">
        <v>392</v>
      </c>
      <c r="CD6" s="57" t="s">
        <v>394</v>
      </c>
      <c r="CE6" s="51" t="s">
        <v>394</v>
      </c>
      <c r="CF6" s="51" t="s">
        <v>392</v>
      </c>
      <c r="CG6" s="51" t="s">
        <v>402</v>
      </c>
      <c r="CH6" s="51" t="s">
        <v>406</v>
      </c>
      <c r="CI6" s="51" t="s">
        <v>402</v>
      </c>
      <c r="CJ6" s="51" t="s">
        <v>402</v>
      </c>
      <c r="CK6" s="51" t="s">
        <v>402</v>
      </c>
      <c r="CL6" s="51" t="s">
        <v>402</v>
      </c>
      <c r="CM6" s="51" t="s">
        <v>402</v>
      </c>
      <c r="CN6" s="57" t="s">
        <v>400</v>
      </c>
      <c r="CO6" s="51" t="s">
        <v>403</v>
      </c>
      <c r="CP6" s="51" t="s">
        <v>396</v>
      </c>
      <c r="CQ6" s="51" t="s">
        <v>396</v>
      </c>
      <c r="CR6" s="51" t="s">
        <v>403</v>
      </c>
      <c r="CS6" s="51" t="s">
        <v>403</v>
      </c>
      <c r="CT6" s="51" t="s">
        <v>396</v>
      </c>
      <c r="CU6" s="51" t="s">
        <v>396</v>
      </c>
      <c r="CV6" s="51" t="s">
        <v>403</v>
      </c>
      <c r="CW6" s="57" t="s">
        <v>398</v>
      </c>
      <c r="CX6" s="51" t="s">
        <v>398</v>
      </c>
      <c r="CY6" s="51" t="s">
        <v>398</v>
      </c>
      <c r="CZ6" s="64" t="str">
        <f>IF(_xlfn.XLOOKUP(B6,[2]累计数据!$C$193:$C$245,[2]累计数据!$C$193:$C$245,"N")=B6,"Y","N")</f>
        <v>N</v>
      </c>
      <c r="DA6" s="58">
        <v>0.05</v>
      </c>
      <c r="DB6" s="59">
        <v>0.05</v>
      </c>
      <c r="DC6" s="59">
        <v>0.02</v>
      </c>
      <c r="DD6" s="65"/>
      <c r="DE6"/>
      <c r="DF6"/>
      <c r="DG6"/>
      <c r="DH6"/>
      <c r="DI6"/>
      <c r="DJ6" s="3"/>
    </row>
    <row r="7" customFormat="1" ht="22.5" customHeight="1" spans="1:114">
      <c r="A7" s="46">
        <v>12247</v>
      </c>
      <c r="B7" s="47" t="s">
        <v>184</v>
      </c>
      <c r="C7" s="48">
        <v>46085</v>
      </c>
      <c r="D7" s="49">
        <f>IF(_xlfn.XLOOKUP(A7,[1]分配表!J:J,[1]分配表!M:M)=0,"未出单",_xlfn.XLOOKUP(A7,[1]分配表!J:J,[1]分配表!M:M))</f>
        <v>46089</v>
      </c>
      <c r="E7" s="50" t="str">
        <f>_xlfn.XLOOKUP(A7,[1]分配表!A:A,[1]分配表!C:C)</f>
        <v>胡煜星</v>
      </c>
      <c r="F7" s="50" t="s">
        <v>52</v>
      </c>
      <c r="G7" s="50" t="s">
        <v>34</v>
      </c>
      <c r="H7" s="51">
        <v>5</v>
      </c>
      <c r="I7" s="51">
        <v>8</v>
      </c>
      <c r="J7" s="51">
        <v>3</v>
      </c>
      <c r="K7" s="51">
        <v>6</v>
      </c>
      <c r="L7" s="51">
        <v>6</v>
      </c>
      <c r="M7" s="51">
        <v>2</v>
      </c>
      <c r="N7" s="51">
        <v>7</v>
      </c>
      <c r="O7" s="51">
        <v>1</v>
      </c>
      <c r="P7" s="51">
        <v>5</v>
      </c>
      <c r="Q7" s="52">
        <f t="shared" si="0"/>
        <v>4</v>
      </c>
      <c r="R7" s="53">
        <v>475</v>
      </c>
      <c r="S7" s="54">
        <v>632</v>
      </c>
      <c r="T7" s="54">
        <v>237</v>
      </c>
      <c r="U7" s="54">
        <v>481</v>
      </c>
      <c r="V7" s="54">
        <v>534</v>
      </c>
      <c r="W7" s="54">
        <v>178</v>
      </c>
      <c r="X7" s="54">
        <v>647.28</v>
      </c>
      <c r="Y7" s="55">
        <v>111.25</v>
      </c>
      <c r="Z7" s="56">
        <v>490</v>
      </c>
      <c r="AA7" s="54">
        <f t="shared" si="1"/>
        <v>378.75</v>
      </c>
      <c r="AB7" s="57">
        <v>0</v>
      </c>
      <c r="AC7" s="51">
        <v>0</v>
      </c>
      <c r="AD7" s="51">
        <v>0</v>
      </c>
      <c r="AE7" s="51">
        <v>0</v>
      </c>
      <c r="AF7" s="51">
        <v>0</v>
      </c>
      <c r="AG7" s="51">
        <v>0</v>
      </c>
      <c r="AH7" s="51">
        <v>0</v>
      </c>
      <c r="AI7" s="51">
        <v>0</v>
      </c>
      <c r="AJ7" s="51">
        <v>0</v>
      </c>
      <c r="AK7" s="58">
        <v>1</v>
      </c>
      <c r="AL7" s="59">
        <v>1</v>
      </c>
      <c r="AM7" s="59">
        <v>1</v>
      </c>
      <c r="AN7" s="59">
        <v>1</v>
      </c>
      <c r="AO7" s="59">
        <v>1</v>
      </c>
      <c r="AP7" s="59">
        <v>1</v>
      </c>
      <c r="AQ7" s="59">
        <v>1</v>
      </c>
      <c r="AR7" s="59">
        <v>1</v>
      </c>
      <c r="AS7" s="59">
        <v>1</v>
      </c>
      <c r="AT7" s="60">
        <v>1</v>
      </c>
      <c r="AU7" s="61">
        <v>1</v>
      </c>
      <c r="AV7" s="61">
        <v>1</v>
      </c>
      <c r="AW7" s="61">
        <v>3</v>
      </c>
      <c r="AX7" s="61">
        <v>9</v>
      </c>
      <c r="AY7" s="61">
        <v>6</v>
      </c>
      <c r="AZ7" s="61">
        <v>12</v>
      </c>
      <c r="BA7" s="61">
        <v>4</v>
      </c>
      <c r="BB7" s="62">
        <v>11</v>
      </c>
      <c r="BC7" s="54" t="s">
        <v>391</v>
      </c>
      <c r="BD7" s="54" t="s">
        <v>391</v>
      </c>
      <c r="BE7" s="54" t="s">
        <v>391</v>
      </c>
      <c r="BF7" s="54" t="s">
        <v>391</v>
      </c>
      <c r="BG7" s="54" t="s">
        <v>391</v>
      </c>
      <c r="BH7" s="54" t="s">
        <v>391</v>
      </c>
      <c r="BI7" s="54" t="s">
        <v>391</v>
      </c>
      <c r="BJ7" s="54" t="s">
        <v>391</v>
      </c>
      <c r="BK7" s="54" t="s">
        <v>391</v>
      </c>
      <c r="BL7" s="53" t="s">
        <v>392</v>
      </c>
      <c r="BM7" s="54" t="s">
        <v>392</v>
      </c>
      <c r="BN7" s="54" t="s">
        <v>392</v>
      </c>
      <c r="BO7" s="54" t="s">
        <v>392</v>
      </c>
      <c r="BP7" s="54" t="s">
        <v>392</v>
      </c>
      <c r="BQ7" s="54" t="s">
        <v>392</v>
      </c>
      <c r="BR7" s="54" t="s">
        <v>392</v>
      </c>
      <c r="BS7" s="54" t="s">
        <v>392</v>
      </c>
      <c r="BT7" s="63" t="s">
        <v>392</v>
      </c>
      <c r="BU7" s="53" t="s">
        <v>392</v>
      </c>
      <c r="BV7" s="54" t="s">
        <v>392</v>
      </c>
      <c r="BW7" s="54" t="s">
        <v>392</v>
      </c>
      <c r="BX7" s="54" t="s">
        <v>392</v>
      </c>
      <c r="BY7" s="54" t="s">
        <v>392</v>
      </c>
      <c r="BZ7" s="54" t="s">
        <v>392</v>
      </c>
      <c r="CA7" s="54" t="s">
        <v>392</v>
      </c>
      <c r="CB7" s="54" t="s">
        <v>392</v>
      </c>
      <c r="CC7" s="54" t="s">
        <v>392</v>
      </c>
      <c r="CD7" s="57" t="s">
        <v>394</v>
      </c>
      <c r="CE7" s="51" t="s">
        <v>392</v>
      </c>
      <c r="CF7" s="51" t="s">
        <v>392</v>
      </c>
      <c r="CG7" s="51" t="s">
        <v>392</v>
      </c>
      <c r="CH7" s="51" t="s">
        <v>392</v>
      </c>
      <c r="CI7" s="51" t="s">
        <v>392</v>
      </c>
      <c r="CJ7" s="51" t="s">
        <v>392</v>
      </c>
      <c r="CK7" s="51" t="s">
        <v>392</v>
      </c>
      <c r="CL7" s="51" t="s">
        <v>392</v>
      </c>
      <c r="CM7" s="51" t="s">
        <v>392</v>
      </c>
      <c r="CN7" s="57" t="s">
        <v>395</v>
      </c>
      <c r="CO7" s="51" t="s">
        <v>396</v>
      </c>
      <c r="CP7" s="51" t="s">
        <v>396</v>
      </c>
      <c r="CQ7" s="51" t="s">
        <v>396</v>
      </c>
      <c r="CR7" s="51" t="s">
        <v>396</v>
      </c>
      <c r="CS7" s="51" t="s">
        <v>396</v>
      </c>
      <c r="CT7" s="51" t="s">
        <v>396</v>
      </c>
      <c r="CU7" s="51" t="s">
        <v>396</v>
      </c>
      <c r="CV7" s="51" t="s">
        <v>396</v>
      </c>
      <c r="CW7" s="57" t="s">
        <v>391</v>
      </c>
      <c r="CX7" s="51" t="s">
        <v>391</v>
      </c>
      <c r="CY7" s="51" t="s">
        <v>391</v>
      </c>
      <c r="CZ7" s="64" t="str">
        <f>IF(_xlfn.XLOOKUP(B7,[2]累计数据!$C$193:$C$245,[2]累计数据!$C$193:$C$245,"N")=B7,"Y","N")</f>
        <v>N</v>
      </c>
      <c r="DA7" s="58">
        <v>0.04</v>
      </c>
      <c r="DB7" s="59">
        <v>0.03</v>
      </c>
      <c r="DC7" s="59">
        <v>0</v>
      </c>
      <c r="DD7" s="65"/>
      <c r="DE7"/>
      <c r="DF7"/>
      <c r="DG7"/>
      <c r="DH7"/>
      <c r="DI7"/>
      <c r="DJ7" s="3"/>
    </row>
    <row r="8" customFormat="1" ht="22.5" customHeight="1" spans="1:114">
      <c r="A8" s="66">
        <v>11102</v>
      </c>
      <c r="B8" s="67" t="s">
        <v>149</v>
      </c>
      <c r="C8" s="68">
        <v>46085</v>
      </c>
      <c r="D8" s="49">
        <f>IF(_xlfn.XLOOKUP(A8,[1]分配表!J:J,[1]分配表!M:M)=0,"未出单",_xlfn.XLOOKUP(A8,[1]分配表!J:J,[1]分配表!M:M))</f>
        <v>46100</v>
      </c>
      <c r="E8" s="50" t="str">
        <f>_xlfn.XLOOKUP(A8,[1]分配表!A:A,[1]分配表!C:C)</f>
        <v>张潇</v>
      </c>
      <c r="F8" s="50" t="s">
        <v>44</v>
      </c>
      <c r="G8" s="50" t="s">
        <v>34</v>
      </c>
      <c r="H8" s="51">
        <v>0</v>
      </c>
      <c r="I8" s="51">
        <v>0</v>
      </c>
      <c r="J8" s="51">
        <v>2</v>
      </c>
      <c r="K8" s="51">
        <v>1</v>
      </c>
      <c r="L8" s="51">
        <v>3</v>
      </c>
      <c r="M8" s="51">
        <v>0</v>
      </c>
      <c r="N8" s="51">
        <v>3</v>
      </c>
      <c r="O8" s="51">
        <v>4</v>
      </c>
      <c r="P8" s="51">
        <v>5</v>
      </c>
      <c r="Q8" s="52">
        <f t="shared" si="0"/>
        <v>1</v>
      </c>
      <c r="R8" s="53">
        <v>0</v>
      </c>
      <c r="S8" s="54">
        <v>0</v>
      </c>
      <c r="T8" s="54">
        <v>64</v>
      </c>
      <c r="U8" s="54">
        <v>32</v>
      </c>
      <c r="V8" s="54">
        <v>96</v>
      </c>
      <c r="W8" s="54">
        <v>0</v>
      </c>
      <c r="X8" s="54">
        <v>92.19</v>
      </c>
      <c r="Y8" s="55">
        <v>112.76</v>
      </c>
      <c r="Z8" s="56">
        <v>140.95</v>
      </c>
      <c r="AA8" s="54">
        <f t="shared" si="1"/>
        <v>28.19</v>
      </c>
      <c r="AB8" s="57">
        <v>2</v>
      </c>
      <c r="AC8" s="51">
        <v>5</v>
      </c>
      <c r="AD8" s="51">
        <v>3</v>
      </c>
      <c r="AE8" s="51">
        <v>2</v>
      </c>
      <c r="AF8" s="51">
        <v>0</v>
      </c>
      <c r="AG8" s="51">
        <v>6</v>
      </c>
      <c r="AH8" s="51">
        <v>5</v>
      </c>
      <c r="AI8" s="51">
        <v>2</v>
      </c>
      <c r="AJ8" s="51">
        <v>5</v>
      </c>
      <c r="AK8" s="58">
        <v>0</v>
      </c>
      <c r="AL8" s="59">
        <v>0</v>
      </c>
      <c r="AM8" s="59">
        <v>0.4</v>
      </c>
      <c r="AN8" s="59">
        <v>0.333333333333333</v>
      </c>
      <c r="AO8" s="59">
        <v>1</v>
      </c>
      <c r="AP8" s="59">
        <v>0</v>
      </c>
      <c r="AQ8" s="59">
        <v>0.2857</v>
      </c>
      <c r="AR8" s="59">
        <v>0.5</v>
      </c>
      <c r="AS8" s="59">
        <v>0.5833</v>
      </c>
      <c r="AT8" s="60">
        <v>7</v>
      </c>
      <c r="AU8" s="61">
        <v>2</v>
      </c>
      <c r="AV8" s="61">
        <v>2</v>
      </c>
      <c r="AW8" s="61">
        <v>3</v>
      </c>
      <c r="AX8" s="61">
        <v>9</v>
      </c>
      <c r="AY8" s="61">
        <v>3</v>
      </c>
      <c r="AZ8" s="61">
        <v>5</v>
      </c>
      <c r="BA8" s="61">
        <v>6</v>
      </c>
      <c r="BB8" s="62">
        <v>13</v>
      </c>
      <c r="BC8" s="54" t="s">
        <v>120</v>
      </c>
      <c r="BD8" s="54" t="s">
        <v>120</v>
      </c>
      <c r="BE8" s="54" t="s">
        <v>398</v>
      </c>
      <c r="BF8" s="54" t="s">
        <v>398</v>
      </c>
      <c r="BG8" s="54" t="s">
        <v>398</v>
      </c>
      <c r="BH8" s="54" t="s">
        <v>398</v>
      </c>
      <c r="BI8" s="54" t="s">
        <v>398</v>
      </c>
      <c r="BJ8" s="54" t="s">
        <v>398</v>
      </c>
      <c r="BK8" s="54" t="s">
        <v>398</v>
      </c>
      <c r="BL8" s="53" t="s">
        <v>392</v>
      </c>
      <c r="BM8" s="54" t="s">
        <v>392</v>
      </c>
      <c r="BN8" s="54" t="s">
        <v>392</v>
      </c>
      <c r="BO8" s="54" t="s">
        <v>392</v>
      </c>
      <c r="BP8" s="54" t="s">
        <v>392</v>
      </c>
      <c r="BQ8" s="54" t="s">
        <v>392</v>
      </c>
      <c r="BR8" s="54" t="s">
        <v>392</v>
      </c>
      <c r="BS8" s="54" t="s">
        <v>392</v>
      </c>
      <c r="BT8" s="63" t="s">
        <v>393</v>
      </c>
      <c r="BU8" s="53" t="s">
        <v>393</v>
      </c>
      <c r="BV8" s="54" t="s">
        <v>392</v>
      </c>
      <c r="BW8" s="54" t="s">
        <v>392</v>
      </c>
      <c r="BX8" s="54" t="s">
        <v>392</v>
      </c>
      <c r="BY8" s="54" t="s">
        <v>392</v>
      </c>
      <c r="BZ8" s="54" t="s">
        <v>392</v>
      </c>
      <c r="CA8" s="54" t="s">
        <v>392</v>
      </c>
      <c r="CB8" s="54" t="s">
        <v>392</v>
      </c>
      <c r="CC8" s="54" t="s">
        <v>392</v>
      </c>
      <c r="CD8" s="57" t="s">
        <v>394</v>
      </c>
      <c r="CE8" s="51" t="s">
        <v>407</v>
      </c>
      <c r="CF8" s="51" t="s">
        <v>407</v>
      </c>
      <c r="CG8" s="51" t="s">
        <v>402</v>
      </c>
      <c r="CH8" s="51" t="s">
        <v>402</v>
      </c>
      <c r="CI8" s="51" t="s">
        <v>392</v>
      </c>
      <c r="CJ8" s="51" t="s">
        <v>402</v>
      </c>
      <c r="CK8" s="51" t="s">
        <v>402</v>
      </c>
      <c r="CL8" s="51" t="s">
        <v>402</v>
      </c>
      <c r="CM8" s="51" t="s">
        <v>402</v>
      </c>
      <c r="CN8" s="57" t="s">
        <v>404</v>
      </c>
      <c r="CO8" s="51" t="s">
        <v>395</v>
      </c>
      <c r="CP8" s="51" t="s">
        <v>403</v>
      </c>
      <c r="CQ8" s="51" t="s">
        <v>396</v>
      </c>
      <c r="CR8" s="51" t="s">
        <v>396</v>
      </c>
      <c r="CS8" s="51" t="s">
        <v>396</v>
      </c>
      <c r="CT8" s="51" t="s">
        <v>396</v>
      </c>
      <c r="CU8" s="51" t="s">
        <v>396</v>
      </c>
      <c r="CV8" s="51" t="s">
        <v>396</v>
      </c>
      <c r="CW8" s="57" t="s">
        <v>391</v>
      </c>
      <c r="CX8" s="51" t="s">
        <v>391</v>
      </c>
      <c r="CY8" s="51" t="s">
        <v>391</v>
      </c>
      <c r="CZ8" s="64" t="str">
        <f>IF(_xlfn.XLOOKUP(B8,[2]累计数据!$C$193:$C$245,[2]累计数据!$C$193:$C$245,"N")=B8,"Y","N")</f>
        <v>Y</v>
      </c>
      <c r="DA8" s="58">
        <v>0.03</v>
      </c>
      <c r="DB8" s="59">
        <v>0.03</v>
      </c>
      <c r="DC8" s="59">
        <v>0</v>
      </c>
      <c r="DD8" s="65"/>
      <c r="DE8"/>
      <c r="DF8"/>
      <c r="DG8"/>
      <c r="DH8"/>
      <c r="DI8"/>
      <c r="DJ8" s="3"/>
    </row>
    <row r="9" customFormat="1" ht="22.5" customHeight="1" spans="1:114">
      <c r="A9" s="66">
        <v>12071</v>
      </c>
      <c r="B9" s="67" t="s">
        <v>408</v>
      </c>
      <c r="C9" s="68">
        <v>46085</v>
      </c>
      <c r="D9" s="49">
        <f>IF(_xlfn.XLOOKUP(A9,[1]分配表!J:J,[1]分配表!M:M)=0,"未出单",_xlfn.XLOOKUP(A9,[1]分配表!J:J,[1]分配表!M:M))</f>
        <v>46092</v>
      </c>
      <c r="E9" s="50" t="str">
        <f>_xlfn.XLOOKUP(A9,[1]分配表!A:A,[1]分配表!C:C)</f>
        <v>胡煜星</v>
      </c>
      <c r="F9" s="50" t="s">
        <v>92</v>
      </c>
      <c r="G9" s="50" t="s">
        <v>45</v>
      </c>
      <c r="H9" s="51">
        <v>1</v>
      </c>
      <c r="I9" s="51">
        <v>0</v>
      </c>
      <c r="J9" s="51">
        <v>0</v>
      </c>
      <c r="K9" s="51">
        <v>1</v>
      </c>
      <c r="L9" s="51">
        <v>0</v>
      </c>
      <c r="M9" s="51">
        <v>3</v>
      </c>
      <c r="N9" s="51">
        <v>1</v>
      </c>
      <c r="O9" s="51">
        <v>0</v>
      </c>
      <c r="P9" s="51">
        <v>0</v>
      </c>
      <c r="Q9" s="52">
        <f t="shared" si="0"/>
        <v>0</v>
      </c>
      <c r="R9" s="53">
        <v>299</v>
      </c>
      <c r="S9" s="54">
        <v>0</v>
      </c>
      <c r="T9" s="54">
        <v>0</v>
      </c>
      <c r="U9" s="54">
        <v>299</v>
      </c>
      <c r="V9" s="54">
        <v>0</v>
      </c>
      <c r="W9" s="54">
        <v>897</v>
      </c>
      <c r="X9" s="54">
        <v>299</v>
      </c>
      <c r="Y9" s="55">
        <v>0</v>
      </c>
      <c r="Z9" s="56">
        <v>0</v>
      </c>
      <c r="AA9" s="54">
        <f t="shared" si="1"/>
        <v>0</v>
      </c>
      <c r="AB9" s="57">
        <v>1</v>
      </c>
      <c r="AC9" s="51">
        <v>0</v>
      </c>
      <c r="AD9" s="51">
        <v>0</v>
      </c>
      <c r="AE9" s="51">
        <v>0</v>
      </c>
      <c r="AF9" s="51">
        <v>0</v>
      </c>
      <c r="AG9" s="51">
        <v>0</v>
      </c>
      <c r="AH9" s="51">
        <v>0</v>
      </c>
      <c r="AI9" s="51">
        <v>1</v>
      </c>
      <c r="AJ9" s="51">
        <v>0</v>
      </c>
      <c r="AK9" s="58">
        <v>0.5</v>
      </c>
      <c r="AL9" s="59">
        <v>1</v>
      </c>
      <c r="AM9" s="59" t="s">
        <v>390</v>
      </c>
      <c r="AN9" s="59">
        <v>1</v>
      </c>
      <c r="AO9" s="59">
        <v>0</v>
      </c>
      <c r="AP9" s="59">
        <v>1</v>
      </c>
      <c r="AQ9" s="59" t="s">
        <v>390</v>
      </c>
      <c r="AR9" s="59">
        <v>0.5</v>
      </c>
      <c r="AS9" s="59" t="s">
        <v>390</v>
      </c>
      <c r="AT9" s="60">
        <v>1</v>
      </c>
      <c r="AU9" s="61">
        <v>8</v>
      </c>
      <c r="AV9" s="61">
        <v>1</v>
      </c>
      <c r="AW9" s="61">
        <v>9</v>
      </c>
      <c r="AX9" s="61">
        <v>0</v>
      </c>
      <c r="AY9" s="61">
        <v>8</v>
      </c>
      <c r="AZ9" s="61">
        <v>14</v>
      </c>
      <c r="BA9" s="61">
        <v>21</v>
      </c>
      <c r="BB9" s="62">
        <v>0</v>
      </c>
      <c r="BC9" s="54" t="s">
        <v>391</v>
      </c>
      <c r="BD9" s="54" t="s">
        <v>391</v>
      </c>
      <c r="BE9" s="54" t="s">
        <v>391</v>
      </c>
      <c r="BF9" s="54" t="s">
        <v>391</v>
      </c>
      <c r="BG9" s="54" t="s">
        <v>391</v>
      </c>
      <c r="BH9" s="54" t="s">
        <v>391</v>
      </c>
      <c r="BI9" s="54" t="s">
        <v>391</v>
      </c>
      <c r="BJ9" s="54" t="s">
        <v>391</v>
      </c>
      <c r="BK9" s="54" t="s">
        <v>391</v>
      </c>
      <c r="BL9" s="53" t="s">
        <v>392</v>
      </c>
      <c r="BM9" s="54" t="s">
        <v>393</v>
      </c>
      <c r="BN9" s="54" t="s">
        <v>392</v>
      </c>
      <c r="BO9" s="54" t="s">
        <v>393</v>
      </c>
      <c r="BP9" s="54" t="s">
        <v>392</v>
      </c>
      <c r="BQ9" s="54" t="s">
        <v>392</v>
      </c>
      <c r="BR9" s="54" t="s">
        <v>392</v>
      </c>
      <c r="BS9" s="54" t="s">
        <v>393</v>
      </c>
      <c r="BT9" s="63" t="s">
        <v>392</v>
      </c>
      <c r="BU9" s="53" t="s">
        <v>392</v>
      </c>
      <c r="BV9" s="54" t="s">
        <v>392</v>
      </c>
      <c r="BW9" s="54" t="s">
        <v>392</v>
      </c>
      <c r="BX9" s="54" t="s">
        <v>392</v>
      </c>
      <c r="BY9" s="54" t="s">
        <v>392</v>
      </c>
      <c r="BZ9" s="54" t="s">
        <v>392</v>
      </c>
      <c r="CA9" s="54" t="s">
        <v>392</v>
      </c>
      <c r="CB9" s="54" t="s">
        <v>392</v>
      </c>
      <c r="CC9" s="54" t="s">
        <v>392</v>
      </c>
      <c r="CD9" s="57" t="s">
        <v>394</v>
      </c>
      <c r="CE9" s="51" t="s">
        <v>402</v>
      </c>
      <c r="CF9" s="51" t="s">
        <v>392</v>
      </c>
      <c r="CG9" s="51" t="s">
        <v>394</v>
      </c>
      <c r="CH9" s="51" t="s">
        <v>392</v>
      </c>
      <c r="CI9" s="51" t="s">
        <v>394</v>
      </c>
      <c r="CJ9" s="51" t="s">
        <v>392</v>
      </c>
      <c r="CK9" s="51" t="s">
        <v>394</v>
      </c>
      <c r="CL9" s="51" t="s">
        <v>402</v>
      </c>
      <c r="CM9" s="51" t="s">
        <v>394</v>
      </c>
      <c r="CN9" s="57" t="s">
        <v>409</v>
      </c>
      <c r="CO9" s="51" t="s">
        <v>396</v>
      </c>
      <c r="CP9" s="51" t="s">
        <v>400</v>
      </c>
      <c r="CQ9" s="51" t="s">
        <v>400</v>
      </c>
      <c r="CR9" s="51" t="s">
        <v>396</v>
      </c>
      <c r="CS9" s="51" t="s">
        <v>396</v>
      </c>
      <c r="CT9" s="51" t="s">
        <v>396</v>
      </c>
      <c r="CU9" s="51" t="s">
        <v>396</v>
      </c>
      <c r="CV9" s="51" t="s">
        <v>403</v>
      </c>
      <c r="CW9" s="57" t="s">
        <v>398</v>
      </c>
      <c r="CX9" s="51" t="s">
        <v>398</v>
      </c>
      <c r="CY9" s="51" t="s">
        <v>398</v>
      </c>
      <c r="CZ9" s="64" t="str">
        <f>IF(_xlfn.XLOOKUP(B9,[2]累计数据!$C$193:$C$245,[2]累计数据!$C$193:$C$245,"N")=B9,"Y","N")</f>
        <v>N</v>
      </c>
      <c r="DA9" s="58">
        <v>0</v>
      </c>
      <c r="DB9" s="59">
        <v>0</v>
      </c>
      <c r="DC9" s="59">
        <v>0</v>
      </c>
      <c r="DD9" s="65"/>
      <c r="DE9"/>
      <c r="DF9"/>
      <c r="DG9"/>
      <c r="DH9"/>
      <c r="DI9"/>
      <c r="DJ9" s="3"/>
    </row>
    <row r="10" customFormat="1" ht="22.5" customHeight="1" spans="1:114">
      <c r="A10" s="46">
        <v>12072</v>
      </c>
      <c r="B10" s="47" t="s">
        <v>410</v>
      </c>
      <c r="C10" s="48">
        <v>46085</v>
      </c>
      <c r="D10" s="49">
        <f>IF(_xlfn.XLOOKUP(A10,[1]分配表!J:J,[1]分配表!M:M)=0,"未出单",_xlfn.XLOOKUP(A10,[1]分配表!J:J,[1]分配表!M:M))</f>
        <v>46112</v>
      </c>
      <c r="E10" s="50" t="str">
        <f>_xlfn.XLOOKUP(A10,[1]分配表!A:A,[1]分配表!C:C)</f>
        <v>胡煜星</v>
      </c>
      <c r="F10" s="50" t="s">
        <v>92</v>
      </c>
      <c r="G10" s="50" t="s">
        <v>34</v>
      </c>
      <c r="H10" s="51">
        <v>0</v>
      </c>
      <c r="I10" s="51">
        <v>0</v>
      </c>
      <c r="J10" s="51">
        <v>0</v>
      </c>
      <c r="K10" s="51">
        <v>1</v>
      </c>
      <c r="L10" s="51">
        <v>0</v>
      </c>
      <c r="M10" s="51">
        <v>1</v>
      </c>
      <c r="N10" s="51">
        <v>1</v>
      </c>
      <c r="O10" s="51">
        <v>1</v>
      </c>
      <c r="P10" s="51">
        <v>0</v>
      </c>
      <c r="Q10" s="52">
        <f t="shared" si="0"/>
        <v>-1</v>
      </c>
      <c r="R10" s="53">
        <v>0</v>
      </c>
      <c r="S10" s="54">
        <v>0</v>
      </c>
      <c r="T10" s="54">
        <v>0</v>
      </c>
      <c r="U10" s="54">
        <v>299</v>
      </c>
      <c r="V10" s="54">
        <v>0</v>
      </c>
      <c r="W10" s="54">
        <v>299</v>
      </c>
      <c r="X10" s="54">
        <v>299</v>
      </c>
      <c r="Y10" s="55">
        <v>299</v>
      </c>
      <c r="Z10" s="56">
        <v>0</v>
      </c>
      <c r="AA10" s="54">
        <f t="shared" si="1"/>
        <v>-299</v>
      </c>
      <c r="AB10" s="57">
        <v>0</v>
      </c>
      <c r="AC10" s="51">
        <v>0</v>
      </c>
      <c r="AD10" s="51">
        <v>0</v>
      </c>
      <c r="AE10" s="51">
        <v>0</v>
      </c>
      <c r="AF10" s="51">
        <v>0</v>
      </c>
      <c r="AG10" s="51">
        <v>0</v>
      </c>
      <c r="AH10" s="51">
        <v>0</v>
      </c>
      <c r="AI10" s="51">
        <v>0</v>
      </c>
      <c r="AJ10" s="51">
        <v>0</v>
      </c>
      <c r="AK10" s="58" t="s">
        <v>390</v>
      </c>
      <c r="AL10" s="59" t="s">
        <v>390</v>
      </c>
      <c r="AM10" s="59" t="s">
        <v>390</v>
      </c>
      <c r="AN10" s="59">
        <v>1</v>
      </c>
      <c r="AO10" s="59">
        <v>0</v>
      </c>
      <c r="AP10" s="59">
        <v>1</v>
      </c>
      <c r="AQ10" s="59">
        <v>1</v>
      </c>
      <c r="AR10" s="59">
        <v>1</v>
      </c>
      <c r="AS10" s="59" t="s">
        <v>390</v>
      </c>
      <c r="AT10" s="60">
        <v>1</v>
      </c>
      <c r="AU10" s="61">
        <v>8</v>
      </c>
      <c r="AV10" s="61" t="s">
        <v>411</v>
      </c>
      <c r="AW10" s="61">
        <v>9</v>
      </c>
      <c r="AX10" s="61">
        <v>0</v>
      </c>
      <c r="AY10" s="61">
        <v>8</v>
      </c>
      <c r="AZ10" s="61">
        <v>14</v>
      </c>
      <c r="BA10" s="61">
        <v>21</v>
      </c>
      <c r="BB10" s="62">
        <v>28</v>
      </c>
      <c r="BC10" s="54" t="s">
        <v>120</v>
      </c>
      <c r="BD10" s="54" t="s">
        <v>120</v>
      </c>
      <c r="BE10" s="54" t="s">
        <v>120</v>
      </c>
      <c r="BF10" s="54" t="s">
        <v>398</v>
      </c>
      <c r="BG10" s="54" t="s">
        <v>398</v>
      </c>
      <c r="BH10" s="54" t="s">
        <v>398</v>
      </c>
      <c r="BI10" s="54" t="s">
        <v>398</v>
      </c>
      <c r="BJ10" s="54" t="s">
        <v>398</v>
      </c>
      <c r="BK10" s="54" t="s">
        <v>398</v>
      </c>
      <c r="BL10" s="53" t="s">
        <v>392</v>
      </c>
      <c r="BM10" s="54" t="s">
        <v>393</v>
      </c>
      <c r="BN10" s="54" t="s">
        <v>411</v>
      </c>
      <c r="BO10" s="54" t="s">
        <v>393</v>
      </c>
      <c r="BP10" s="54" t="s">
        <v>392</v>
      </c>
      <c r="BQ10" s="54" t="s">
        <v>392</v>
      </c>
      <c r="BR10" s="54" t="s">
        <v>392</v>
      </c>
      <c r="BS10" s="54" t="s">
        <v>392</v>
      </c>
      <c r="BT10" s="63" t="s">
        <v>392</v>
      </c>
      <c r="BU10" s="53" t="s">
        <v>392</v>
      </c>
      <c r="BV10" s="54" t="s">
        <v>392</v>
      </c>
      <c r="BW10" s="54" t="s">
        <v>411</v>
      </c>
      <c r="BX10" s="54" t="s">
        <v>392</v>
      </c>
      <c r="BY10" s="54" t="s">
        <v>392</v>
      </c>
      <c r="BZ10" s="54" t="s">
        <v>392</v>
      </c>
      <c r="CA10" s="54" t="s">
        <v>392</v>
      </c>
      <c r="CB10" s="54" t="s">
        <v>392</v>
      </c>
      <c r="CC10" s="54" t="s">
        <v>392</v>
      </c>
      <c r="CD10" s="57" t="s">
        <v>394</v>
      </c>
      <c r="CE10" s="51" t="s">
        <v>394</v>
      </c>
      <c r="CF10" s="51" t="s">
        <v>394</v>
      </c>
      <c r="CG10" s="51" t="s">
        <v>394</v>
      </c>
      <c r="CH10" s="51" t="s">
        <v>394</v>
      </c>
      <c r="CI10" s="51" t="s">
        <v>394</v>
      </c>
      <c r="CJ10" s="51" t="s">
        <v>394</v>
      </c>
      <c r="CK10" s="51" t="s">
        <v>392</v>
      </c>
      <c r="CL10" s="51" t="s">
        <v>392</v>
      </c>
      <c r="CM10" s="51" t="s">
        <v>394</v>
      </c>
      <c r="CN10" s="57" t="s">
        <v>409</v>
      </c>
      <c r="CO10" s="51" t="s">
        <v>396</v>
      </c>
      <c r="CP10" s="51" t="s">
        <v>400</v>
      </c>
      <c r="CQ10" s="51" t="s">
        <v>400</v>
      </c>
      <c r="CR10" s="51" t="s">
        <v>396</v>
      </c>
      <c r="CS10" s="51" t="s">
        <v>396</v>
      </c>
      <c r="CT10" s="51" t="s">
        <v>396</v>
      </c>
      <c r="CU10" s="51" t="s">
        <v>396</v>
      </c>
      <c r="CV10" s="51" t="s">
        <v>396</v>
      </c>
      <c r="CW10" s="57" t="s">
        <v>398</v>
      </c>
      <c r="CX10" s="51" t="s">
        <v>398</v>
      </c>
      <c r="CY10" s="51" t="s">
        <v>398</v>
      </c>
      <c r="CZ10" s="64" t="str">
        <f>IF(_xlfn.XLOOKUP(B10,[2]累计数据!$C$193:$C$245,[2]累计数据!$C$193:$C$245,"N")=B10,"Y","N")</f>
        <v>N</v>
      </c>
      <c r="DA10" s="58">
        <v>0.02</v>
      </c>
      <c r="DB10" s="59">
        <v>0</v>
      </c>
      <c r="DC10" s="59">
        <v>0</v>
      </c>
      <c r="DD10" s="65"/>
      <c r="DE10"/>
      <c r="DF10"/>
      <c r="DG10"/>
      <c r="DH10"/>
      <c r="DI10"/>
      <c r="DJ10" s="3"/>
    </row>
    <row r="11" customFormat="1" ht="22.5" customHeight="1" spans="1:114">
      <c r="A11" s="46">
        <v>12248</v>
      </c>
      <c r="B11" s="47" t="s">
        <v>75</v>
      </c>
      <c r="C11" s="48">
        <v>46085</v>
      </c>
      <c r="D11" s="49">
        <f>IF(_xlfn.XLOOKUP(A11,[1]分配表!J:J,[1]分配表!M:M)=0,"未出单",_xlfn.XLOOKUP(A11,[1]分配表!J:J,[1]分配表!M:M))</f>
        <v>46091</v>
      </c>
      <c r="E11" s="50" t="str">
        <f>_xlfn.XLOOKUP(A11,[1]分配表!A:A,[1]分配表!C:C)</f>
        <v>胡煜星</v>
      </c>
      <c r="F11" s="50" t="s">
        <v>52</v>
      </c>
      <c r="G11" s="50" t="s">
        <v>34</v>
      </c>
      <c r="H11" s="51">
        <v>3</v>
      </c>
      <c r="I11" s="51">
        <v>1</v>
      </c>
      <c r="J11" s="51">
        <v>3</v>
      </c>
      <c r="K11" s="51">
        <v>3</v>
      </c>
      <c r="L11" s="51">
        <v>5</v>
      </c>
      <c r="M11" s="51">
        <v>5</v>
      </c>
      <c r="N11" s="51">
        <v>5</v>
      </c>
      <c r="O11" s="51">
        <v>3</v>
      </c>
      <c r="P11" s="51">
        <v>3</v>
      </c>
      <c r="Q11" s="52">
        <f t="shared" si="0"/>
        <v>0</v>
      </c>
      <c r="R11" s="53">
        <v>255</v>
      </c>
      <c r="S11" s="54">
        <v>85</v>
      </c>
      <c r="T11" s="54">
        <v>255</v>
      </c>
      <c r="U11" s="54">
        <v>255</v>
      </c>
      <c r="V11" s="54">
        <v>425</v>
      </c>
      <c r="W11" s="54">
        <v>425</v>
      </c>
      <c r="X11" s="54">
        <v>429</v>
      </c>
      <c r="Y11" s="55">
        <v>258</v>
      </c>
      <c r="Z11" s="56">
        <v>257</v>
      </c>
      <c r="AA11" s="54">
        <f t="shared" si="1"/>
        <v>-1</v>
      </c>
      <c r="AB11" s="57">
        <v>1</v>
      </c>
      <c r="AC11" s="51">
        <v>1</v>
      </c>
      <c r="AD11" s="51">
        <v>0</v>
      </c>
      <c r="AE11" s="51">
        <v>4</v>
      </c>
      <c r="AF11" s="51">
        <v>1</v>
      </c>
      <c r="AG11" s="51">
        <v>3</v>
      </c>
      <c r="AH11" s="51">
        <v>1</v>
      </c>
      <c r="AI11" s="51">
        <v>4</v>
      </c>
      <c r="AJ11" s="51">
        <v>1</v>
      </c>
      <c r="AK11" s="58">
        <v>0.75</v>
      </c>
      <c r="AL11" s="59">
        <v>0.8</v>
      </c>
      <c r="AM11" s="59">
        <v>1</v>
      </c>
      <c r="AN11" s="59">
        <v>0.428571428571429</v>
      </c>
      <c r="AO11" s="59">
        <v>0.833333333333333</v>
      </c>
      <c r="AP11" s="59">
        <v>0.625</v>
      </c>
      <c r="AQ11" s="59">
        <v>0.8333</v>
      </c>
      <c r="AR11" s="59">
        <v>0.5</v>
      </c>
      <c r="AS11" s="59">
        <v>0.75</v>
      </c>
      <c r="AT11" s="60">
        <v>1</v>
      </c>
      <c r="AU11" s="61">
        <v>7</v>
      </c>
      <c r="AV11" s="61">
        <v>7</v>
      </c>
      <c r="AW11" s="61">
        <v>15</v>
      </c>
      <c r="AX11" s="61">
        <v>0</v>
      </c>
      <c r="AY11" s="61">
        <v>8</v>
      </c>
      <c r="AZ11" s="61">
        <v>5</v>
      </c>
      <c r="BA11" s="61">
        <v>12</v>
      </c>
      <c r="BB11" s="62">
        <v>0</v>
      </c>
      <c r="BC11" s="54" t="s">
        <v>391</v>
      </c>
      <c r="BD11" s="54" t="s">
        <v>391</v>
      </c>
      <c r="BE11" s="54" t="s">
        <v>391</v>
      </c>
      <c r="BF11" s="54" t="s">
        <v>391</v>
      </c>
      <c r="BG11" s="54" t="s">
        <v>391</v>
      </c>
      <c r="BH11" s="54" t="s">
        <v>391</v>
      </c>
      <c r="BI11" s="54" t="s">
        <v>391</v>
      </c>
      <c r="BJ11" s="54" t="s">
        <v>391</v>
      </c>
      <c r="BK11" s="54" t="s">
        <v>391</v>
      </c>
      <c r="BL11" s="53" t="s">
        <v>392</v>
      </c>
      <c r="BM11" s="54" t="s">
        <v>392</v>
      </c>
      <c r="BN11" s="54" t="s">
        <v>392</v>
      </c>
      <c r="BO11" s="54" t="s">
        <v>393</v>
      </c>
      <c r="BP11" s="54" t="s">
        <v>392</v>
      </c>
      <c r="BQ11" s="54" t="s">
        <v>393</v>
      </c>
      <c r="BR11" s="54" t="s">
        <v>392</v>
      </c>
      <c r="BS11" s="54" t="s">
        <v>393</v>
      </c>
      <c r="BT11" s="63" t="s">
        <v>392</v>
      </c>
      <c r="BU11" s="53" t="s">
        <v>392</v>
      </c>
      <c r="BV11" s="54" t="s">
        <v>392</v>
      </c>
      <c r="BW11" s="54" t="s">
        <v>392</v>
      </c>
      <c r="BX11" s="54" t="s">
        <v>392</v>
      </c>
      <c r="BY11" s="54" t="s">
        <v>392</v>
      </c>
      <c r="BZ11" s="54" t="s">
        <v>392</v>
      </c>
      <c r="CA11" s="54" t="s">
        <v>392</v>
      </c>
      <c r="CB11" s="54" t="s">
        <v>392</v>
      </c>
      <c r="CC11" s="54" t="s">
        <v>392</v>
      </c>
      <c r="CD11" s="57" t="s">
        <v>394</v>
      </c>
      <c r="CE11" s="51" t="s">
        <v>402</v>
      </c>
      <c r="CF11" s="51" t="s">
        <v>392</v>
      </c>
      <c r="CG11" s="51" t="s">
        <v>392</v>
      </c>
      <c r="CH11" s="51" t="s">
        <v>402</v>
      </c>
      <c r="CI11" s="51" t="s">
        <v>392</v>
      </c>
      <c r="CJ11" s="51" t="s">
        <v>402</v>
      </c>
      <c r="CK11" s="51" t="s">
        <v>392</v>
      </c>
      <c r="CL11" s="51" t="s">
        <v>402</v>
      </c>
      <c r="CM11" s="51" t="s">
        <v>392</v>
      </c>
      <c r="CN11" s="57" t="s">
        <v>395</v>
      </c>
      <c r="CO11" s="51" t="s">
        <v>396</v>
      </c>
      <c r="CP11" s="51" t="s">
        <v>396</v>
      </c>
      <c r="CQ11" s="51" t="s">
        <v>395</v>
      </c>
      <c r="CR11" s="51" t="s">
        <v>396</v>
      </c>
      <c r="CS11" s="51" t="s">
        <v>396</v>
      </c>
      <c r="CT11" s="51" t="s">
        <v>403</v>
      </c>
      <c r="CU11" s="51" t="s">
        <v>396</v>
      </c>
      <c r="CV11" s="51" t="s">
        <v>404</v>
      </c>
      <c r="CW11" s="57" t="s">
        <v>391</v>
      </c>
      <c r="CX11" s="51" t="s">
        <v>391</v>
      </c>
      <c r="CY11" s="51" t="s">
        <v>391</v>
      </c>
      <c r="CZ11" s="64" t="str">
        <f>IF(_xlfn.XLOOKUP(B11,[2]累计数据!$C$193:$C$245,[2]累计数据!$C$193:$C$245,"N")=B11,"Y","N")</f>
        <v>N</v>
      </c>
      <c r="DA11" s="58">
        <v>0.04</v>
      </c>
      <c r="DB11" s="59">
        <v>0.04</v>
      </c>
      <c r="DC11" s="59">
        <v>0.02</v>
      </c>
      <c r="DD11" s="65"/>
      <c r="DE11"/>
      <c r="DF11"/>
      <c r="DG11"/>
      <c r="DH11"/>
      <c r="DI11"/>
      <c r="DJ11" s="3"/>
    </row>
    <row r="12" customFormat="1" ht="22.5" customHeight="1" spans="1:114">
      <c r="A12" s="46">
        <v>12246</v>
      </c>
      <c r="B12" s="47" t="s">
        <v>49</v>
      </c>
      <c r="C12" s="48">
        <v>46085</v>
      </c>
      <c r="D12" s="49">
        <f>IF(_xlfn.XLOOKUP(A12,[1]分配表!J:J,[1]分配表!M:M)=0,"未出单",_xlfn.XLOOKUP(A12,[1]分配表!J:J,[1]分配表!M:M))</f>
        <v>46086</v>
      </c>
      <c r="E12" s="50" t="str">
        <f>_xlfn.XLOOKUP(A12,[1]分配表!A:A,[1]分配表!C:C)</f>
        <v>胡煜星</v>
      </c>
      <c r="F12" s="50" t="s">
        <v>52</v>
      </c>
      <c r="G12" s="50" t="s">
        <v>34</v>
      </c>
      <c r="H12" s="51">
        <v>11</v>
      </c>
      <c r="I12" s="51">
        <v>8</v>
      </c>
      <c r="J12" s="51">
        <v>8</v>
      </c>
      <c r="K12" s="51">
        <v>9</v>
      </c>
      <c r="L12" s="51">
        <v>15</v>
      </c>
      <c r="M12" s="51">
        <v>8</v>
      </c>
      <c r="N12" s="51">
        <v>12</v>
      </c>
      <c r="O12" s="51">
        <v>10</v>
      </c>
      <c r="P12" s="51">
        <v>9</v>
      </c>
      <c r="Q12" s="52">
        <f t="shared" si="0"/>
        <v>-1</v>
      </c>
      <c r="R12" s="53">
        <v>1185</v>
      </c>
      <c r="S12" s="54">
        <v>686</v>
      </c>
      <c r="T12" s="54">
        <v>690</v>
      </c>
      <c r="U12" s="54">
        <v>772</v>
      </c>
      <c r="V12" s="54">
        <v>1296</v>
      </c>
      <c r="W12" s="54">
        <v>685.75</v>
      </c>
      <c r="X12" s="54">
        <v>1033</v>
      </c>
      <c r="Y12" s="55">
        <v>879</v>
      </c>
      <c r="Z12" s="56">
        <v>833.5</v>
      </c>
      <c r="AA12" s="54">
        <f t="shared" si="1"/>
        <v>-45.5</v>
      </c>
      <c r="AB12" s="57">
        <v>2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0</v>
      </c>
      <c r="AJ12" s="51">
        <v>0</v>
      </c>
      <c r="AK12" s="58">
        <v>0.846153846153846</v>
      </c>
      <c r="AL12" s="59">
        <v>1</v>
      </c>
      <c r="AM12" s="59">
        <v>1</v>
      </c>
      <c r="AN12" s="59">
        <v>1</v>
      </c>
      <c r="AO12" s="59">
        <v>1</v>
      </c>
      <c r="AP12" s="59">
        <v>1</v>
      </c>
      <c r="AQ12" s="59">
        <v>1</v>
      </c>
      <c r="AR12" s="59">
        <v>1</v>
      </c>
      <c r="AS12" s="59">
        <v>1</v>
      </c>
      <c r="AT12" s="60">
        <v>1</v>
      </c>
      <c r="AU12" s="61">
        <v>4</v>
      </c>
      <c r="AV12" s="61">
        <v>11</v>
      </c>
      <c r="AW12" s="61">
        <v>1</v>
      </c>
      <c r="AX12" s="61">
        <v>7</v>
      </c>
      <c r="AY12" s="61">
        <v>5</v>
      </c>
      <c r="AZ12" s="61">
        <v>11</v>
      </c>
      <c r="BA12" s="61">
        <v>4</v>
      </c>
      <c r="BB12" s="62">
        <v>1</v>
      </c>
      <c r="BC12" s="54" t="s">
        <v>391</v>
      </c>
      <c r="BD12" s="54" t="s">
        <v>391</v>
      </c>
      <c r="BE12" s="54" t="s">
        <v>391</v>
      </c>
      <c r="BF12" s="54" t="s">
        <v>391</v>
      </c>
      <c r="BG12" s="54" t="s">
        <v>391</v>
      </c>
      <c r="BH12" s="54" t="s">
        <v>391</v>
      </c>
      <c r="BI12" s="54" t="s">
        <v>391</v>
      </c>
      <c r="BJ12" s="54" t="s">
        <v>391</v>
      </c>
      <c r="BK12" s="54" t="s">
        <v>391</v>
      </c>
      <c r="BL12" s="53" t="s">
        <v>392</v>
      </c>
      <c r="BM12" s="54" t="s">
        <v>392</v>
      </c>
      <c r="BN12" s="54" t="s">
        <v>393</v>
      </c>
      <c r="BO12" s="54" t="s">
        <v>392</v>
      </c>
      <c r="BP12" s="54" t="s">
        <v>392</v>
      </c>
      <c r="BQ12" s="54" t="s">
        <v>392</v>
      </c>
      <c r="BR12" s="54" t="s">
        <v>392</v>
      </c>
      <c r="BS12" s="54" t="s">
        <v>392</v>
      </c>
      <c r="BT12" s="63" t="s">
        <v>392</v>
      </c>
      <c r="BU12" s="53" t="s">
        <v>392</v>
      </c>
      <c r="BV12" s="54" t="s">
        <v>392</v>
      </c>
      <c r="BW12" s="54" t="s">
        <v>392</v>
      </c>
      <c r="BX12" s="54" t="s">
        <v>392</v>
      </c>
      <c r="BY12" s="54" t="s">
        <v>392</v>
      </c>
      <c r="BZ12" s="54" t="s">
        <v>392</v>
      </c>
      <c r="CA12" s="54" t="s">
        <v>392</v>
      </c>
      <c r="CB12" s="54" t="s">
        <v>392</v>
      </c>
      <c r="CC12" s="54" t="s">
        <v>392</v>
      </c>
      <c r="CD12" s="57" t="s">
        <v>394</v>
      </c>
      <c r="CE12" s="51" t="s">
        <v>392</v>
      </c>
      <c r="CF12" s="51" t="s">
        <v>392</v>
      </c>
      <c r="CG12" s="51" t="s">
        <v>392</v>
      </c>
      <c r="CH12" s="51" t="s">
        <v>392</v>
      </c>
      <c r="CI12" s="51" t="s">
        <v>392</v>
      </c>
      <c r="CJ12" s="51" t="s">
        <v>392</v>
      </c>
      <c r="CK12" s="51" t="s">
        <v>392</v>
      </c>
      <c r="CL12" s="51" t="s">
        <v>392</v>
      </c>
      <c r="CM12" s="51" t="s">
        <v>392</v>
      </c>
      <c r="CN12" s="57" t="s">
        <v>395</v>
      </c>
      <c r="CO12" s="51" t="s">
        <v>396</v>
      </c>
      <c r="CP12" s="51" t="s">
        <v>396</v>
      </c>
      <c r="CQ12" s="51" t="s">
        <v>396</v>
      </c>
      <c r="CR12" s="51" t="s">
        <v>396</v>
      </c>
      <c r="CS12" s="51" t="s">
        <v>396</v>
      </c>
      <c r="CT12" s="51" t="s">
        <v>396</v>
      </c>
      <c r="CU12" s="51" t="s">
        <v>396</v>
      </c>
      <c r="CV12" s="51" t="s">
        <v>396</v>
      </c>
      <c r="CW12" s="57" t="s">
        <v>391</v>
      </c>
      <c r="CX12" s="51" t="s">
        <v>391</v>
      </c>
      <c r="CY12" s="51" t="s">
        <v>391</v>
      </c>
      <c r="CZ12" s="64" t="str">
        <f>IF(_xlfn.XLOOKUP(B12,[2]累计数据!$C$193:$C$245,[2]累计数据!$C$193:$C$245,"N")=B12,"Y","N")</f>
        <v>Y</v>
      </c>
      <c r="DA12" s="58">
        <v>0.02</v>
      </c>
      <c r="DB12" s="59">
        <v>0</v>
      </c>
      <c r="DC12" s="59">
        <v>0</v>
      </c>
      <c r="DD12" s="65"/>
      <c r="DE12"/>
      <c r="DF12"/>
      <c r="DG12"/>
      <c r="DH12"/>
      <c r="DI12"/>
      <c r="DJ12" s="3"/>
    </row>
    <row r="13" customFormat="1" ht="22.5" customHeight="1" spans="1:114">
      <c r="A13" s="66">
        <v>12205</v>
      </c>
      <c r="B13" s="67" t="s">
        <v>179</v>
      </c>
      <c r="C13" s="68">
        <v>46086</v>
      </c>
      <c r="D13" s="49">
        <f>IF(_xlfn.XLOOKUP(A13,[1]分配表!J:J,[1]分配表!M:M)=0,"未出单",_xlfn.XLOOKUP(A13,[1]分配表!J:J,[1]分配表!M:M))</f>
        <v>46089</v>
      </c>
      <c r="E13" s="50" t="str">
        <f>_xlfn.XLOOKUP(A13,[1]分配表!A:A,[1]分配表!C:C)</f>
        <v>胡煜星</v>
      </c>
      <c r="F13" s="50" t="s">
        <v>44</v>
      </c>
      <c r="G13" s="50" t="s">
        <v>34</v>
      </c>
      <c r="H13" s="51">
        <v>2</v>
      </c>
      <c r="I13" s="51">
        <v>9</v>
      </c>
      <c r="J13" s="51">
        <v>0</v>
      </c>
      <c r="K13" s="51">
        <v>7</v>
      </c>
      <c r="L13" s="51">
        <v>6</v>
      </c>
      <c r="M13" s="51">
        <v>1</v>
      </c>
      <c r="N13" s="51">
        <v>8</v>
      </c>
      <c r="O13" s="51">
        <v>15</v>
      </c>
      <c r="P13" s="51">
        <v>10</v>
      </c>
      <c r="Q13" s="52">
        <f t="shared" si="0"/>
        <v>-5</v>
      </c>
      <c r="R13" s="53">
        <v>44</v>
      </c>
      <c r="S13" s="54">
        <v>196</v>
      </c>
      <c r="T13" s="54">
        <v>0</v>
      </c>
      <c r="U13" s="54">
        <v>152</v>
      </c>
      <c r="V13" s="54">
        <v>132</v>
      </c>
      <c r="W13" s="54">
        <v>22</v>
      </c>
      <c r="X13" s="54">
        <v>176</v>
      </c>
      <c r="Y13" s="55">
        <v>330</v>
      </c>
      <c r="Z13" s="56">
        <v>220</v>
      </c>
      <c r="AA13" s="54">
        <f t="shared" si="1"/>
        <v>-110</v>
      </c>
      <c r="AB13" s="57">
        <v>29</v>
      </c>
      <c r="AC13" s="51">
        <v>34</v>
      </c>
      <c r="AD13" s="51">
        <v>32</v>
      </c>
      <c r="AE13" s="51">
        <v>34</v>
      </c>
      <c r="AF13" s="51">
        <v>23</v>
      </c>
      <c r="AG13" s="51">
        <v>30</v>
      </c>
      <c r="AH13" s="51">
        <v>23</v>
      </c>
      <c r="AI13" s="51">
        <v>21</v>
      </c>
      <c r="AJ13" s="51">
        <v>20</v>
      </c>
      <c r="AK13" s="58">
        <v>0.0645161290322581</v>
      </c>
      <c r="AL13" s="59">
        <v>0.2093</v>
      </c>
      <c r="AM13" s="59">
        <v>0</v>
      </c>
      <c r="AN13" s="59">
        <v>0.170731707317073</v>
      </c>
      <c r="AO13" s="59">
        <v>0.206896551724138</v>
      </c>
      <c r="AP13" s="59">
        <v>0.032258064516129</v>
      </c>
      <c r="AQ13" s="59">
        <v>0.2333</v>
      </c>
      <c r="AR13" s="59">
        <v>0.3824</v>
      </c>
      <c r="AS13" s="59">
        <v>0.3548</v>
      </c>
      <c r="AT13" s="60">
        <v>1</v>
      </c>
      <c r="AU13" s="61">
        <v>1</v>
      </c>
      <c r="AV13" s="61">
        <v>0</v>
      </c>
      <c r="AW13" s="61">
        <v>5</v>
      </c>
      <c r="AX13" s="61">
        <v>1</v>
      </c>
      <c r="AY13" s="61">
        <v>5</v>
      </c>
      <c r="AZ13" s="61">
        <v>1</v>
      </c>
      <c r="BA13" s="61">
        <v>8</v>
      </c>
      <c r="BB13" s="62">
        <v>0</v>
      </c>
      <c r="BC13" s="54" t="s">
        <v>391</v>
      </c>
      <c r="BD13" s="54" t="s">
        <v>391</v>
      </c>
      <c r="BE13" s="54" t="s">
        <v>391</v>
      </c>
      <c r="BF13" s="54" t="s">
        <v>391</v>
      </c>
      <c r="BG13" s="54" t="s">
        <v>391</v>
      </c>
      <c r="BH13" s="54" t="s">
        <v>391</v>
      </c>
      <c r="BI13" s="54" t="s">
        <v>391</v>
      </c>
      <c r="BJ13" s="54" t="s">
        <v>391</v>
      </c>
      <c r="BK13" s="54" t="s">
        <v>391</v>
      </c>
      <c r="BL13" s="53" t="s">
        <v>392</v>
      </c>
      <c r="BM13" s="54" t="s">
        <v>392</v>
      </c>
      <c r="BN13" s="54" t="s">
        <v>392</v>
      </c>
      <c r="BO13" s="54" t="s">
        <v>392</v>
      </c>
      <c r="BP13" s="54" t="s">
        <v>392</v>
      </c>
      <c r="BQ13" s="54" t="s">
        <v>392</v>
      </c>
      <c r="BR13" s="54" t="s">
        <v>392</v>
      </c>
      <c r="BS13" s="54" t="s">
        <v>393</v>
      </c>
      <c r="BT13" s="63" t="s">
        <v>392</v>
      </c>
      <c r="BU13" s="53" t="s">
        <v>392</v>
      </c>
      <c r="BV13" s="54" t="s">
        <v>392</v>
      </c>
      <c r="BW13" s="54" t="s">
        <v>392</v>
      </c>
      <c r="BX13" s="54" t="s">
        <v>392</v>
      </c>
      <c r="BY13" s="54" t="s">
        <v>392</v>
      </c>
      <c r="BZ13" s="54" t="s">
        <v>392</v>
      </c>
      <c r="CA13" s="54" t="s">
        <v>392</v>
      </c>
      <c r="CB13" s="54" t="s">
        <v>392</v>
      </c>
      <c r="CC13" s="54" t="s">
        <v>392</v>
      </c>
      <c r="CD13" s="57" t="s">
        <v>412</v>
      </c>
      <c r="CE13" s="51" t="s">
        <v>402</v>
      </c>
      <c r="CF13" s="51" t="s">
        <v>402</v>
      </c>
      <c r="CG13" s="51" t="s">
        <v>402</v>
      </c>
      <c r="CH13" s="51" t="s">
        <v>402</v>
      </c>
      <c r="CI13" s="51" t="s">
        <v>402</v>
      </c>
      <c r="CJ13" s="51" t="s">
        <v>402</v>
      </c>
      <c r="CK13" s="51" t="s">
        <v>402</v>
      </c>
      <c r="CL13" s="51" t="s">
        <v>402</v>
      </c>
      <c r="CM13" s="51" t="s">
        <v>402</v>
      </c>
      <c r="CN13" s="57" t="s">
        <v>412</v>
      </c>
      <c r="CO13" s="51" t="s">
        <v>396</v>
      </c>
      <c r="CP13" s="51" t="s">
        <v>396</v>
      </c>
      <c r="CQ13" s="51" t="s">
        <v>396</v>
      </c>
      <c r="CR13" s="51" t="s">
        <v>396</v>
      </c>
      <c r="CS13" s="51" t="s">
        <v>396</v>
      </c>
      <c r="CT13" s="51" t="s">
        <v>396</v>
      </c>
      <c r="CU13" s="51" t="s">
        <v>396</v>
      </c>
      <c r="CV13" s="51" t="s">
        <v>404</v>
      </c>
      <c r="CW13" s="57" t="s">
        <v>391</v>
      </c>
      <c r="CX13" s="51" t="s">
        <v>391</v>
      </c>
      <c r="CY13" s="51" t="s">
        <v>391</v>
      </c>
      <c r="CZ13" s="64" t="str">
        <f>IF(_xlfn.XLOOKUP(B13,[2]累计数据!$C$193:$C$245,[2]累计数据!$C$193:$C$245,"N")=B13,"Y","N")</f>
        <v>N</v>
      </c>
      <c r="DA13" s="58">
        <v>0.07</v>
      </c>
      <c r="DB13" s="59">
        <v>0.07</v>
      </c>
      <c r="DC13" s="59">
        <v>0.05</v>
      </c>
      <c r="DD13" s="65"/>
      <c r="DE13"/>
      <c r="DF13"/>
      <c r="DG13"/>
      <c r="DH13"/>
      <c r="DI13"/>
      <c r="DJ13" s="3"/>
    </row>
    <row r="14" customFormat="1" ht="22.5" customHeight="1" spans="1:114">
      <c r="A14" s="66">
        <v>12206</v>
      </c>
      <c r="B14" s="67" t="s">
        <v>181</v>
      </c>
      <c r="C14" s="68">
        <v>46086</v>
      </c>
      <c r="D14" s="49">
        <f>IF(_xlfn.XLOOKUP(A14,[1]分配表!J:J,[1]分配表!M:M)=0,"未出单",_xlfn.XLOOKUP(A14,[1]分配表!J:J,[1]分配表!M:M))</f>
        <v>46094</v>
      </c>
      <c r="E14" s="50" t="str">
        <f>_xlfn.XLOOKUP(A14,[1]分配表!A:A,[1]分配表!C:C)</f>
        <v>胡煜星</v>
      </c>
      <c r="F14" s="50" t="s">
        <v>44</v>
      </c>
      <c r="G14" s="50" t="s">
        <v>34</v>
      </c>
      <c r="H14" s="51">
        <v>0</v>
      </c>
      <c r="I14" s="51">
        <v>2</v>
      </c>
      <c r="J14" s="51">
        <v>0</v>
      </c>
      <c r="K14" s="51">
        <v>0</v>
      </c>
      <c r="L14" s="51">
        <v>1</v>
      </c>
      <c r="M14" s="51">
        <v>1</v>
      </c>
      <c r="N14" s="51">
        <v>0</v>
      </c>
      <c r="O14" s="51">
        <v>2</v>
      </c>
      <c r="P14" s="51">
        <v>2</v>
      </c>
      <c r="Q14" s="52">
        <f t="shared" si="0"/>
        <v>0</v>
      </c>
      <c r="R14" s="53">
        <v>0</v>
      </c>
      <c r="S14" s="54">
        <v>44</v>
      </c>
      <c r="T14" s="54">
        <v>0</v>
      </c>
      <c r="U14" s="54">
        <v>0</v>
      </c>
      <c r="V14" s="54">
        <v>22</v>
      </c>
      <c r="W14" s="54">
        <v>22</v>
      </c>
      <c r="X14" s="54">
        <v>0</v>
      </c>
      <c r="Y14" s="55">
        <v>44</v>
      </c>
      <c r="Z14" s="56">
        <v>44</v>
      </c>
      <c r="AA14" s="54">
        <f t="shared" si="1"/>
        <v>0</v>
      </c>
      <c r="AB14" s="57">
        <v>7</v>
      </c>
      <c r="AC14" s="51">
        <v>6</v>
      </c>
      <c r="AD14" s="51">
        <v>8</v>
      </c>
      <c r="AE14" s="51">
        <v>11</v>
      </c>
      <c r="AF14" s="51">
        <v>3</v>
      </c>
      <c r="AG14" s="51">
        <v>5</v>
      </c>
      <c r="AH14" s="51">
        <v>10</v>
      </c>
      <c r="AI14" s="51">
        <v>9</v>
      </c>
      <c r="AJ14" s="51">
        <v>6</v>
      </c>
      <c r="AK14" s="58">
        <v>0</v>
      </c>
      <c r="AL14" s="59">
        <v>0.25</v>
      </c>
      <c r="AM14" s="59">
        <v>0</v>
      </c>
      <c r="AN14" s="59">
        <v>0</v>
      </c>
      <c r="AO14" s="59">
        <v>0.25</v>
      </c>
      <c r="AP14" s="59">
        <v>0.166666666666667</v>
      </c>
      <c r="AQ14" s="59">
        <v>0</v>
      </c>
      <c r="AR14" s="59">
        <v>0.1818</v>
      </c>
      <c r="AS14" s="59">
        <v>0.25</v>
      </c>
      <c r="AT14" s="60">
        <v>1</v>
      </c>
      <c r="AU14" s="61">
        <v>1</v>
      </c>
      <c r="AV14" s="61">
        <v>0</v>
      </c>
      <c r="AW14" s="61">
        <v>8</v>
      </c>
      <c r="AX14" s="61">
        <v>0</v>
      </c>
      <c r="AY14" s="61">
        <v>6</v>
      </c>
      <c r="AZ14" s="61">
        <v>1</v>
      </c>
      <c r="BA14" s="61">
        <v>8</v>
      </c>
      <c r="BB14" s="62">
        <v>0</v>
      </c>
      <c r="BC14" s="54" t="s">
        <v>120</v>
      </c>
      <c r="BD14" s="54" t="s">
        <v>391</v>
      </c>
      <c r="BE14" s="54" t="s">
        <v>391</v>
      </c>
      <c r="BF14" s="54" t="s">
        <v>391</v>
      </c>
      <c r="BG14" s="54" t="s">
        <v>391</v>
      </c>
      <c r="BH14" s="54" t="s">
        <v>391</v>
      </c>
      <c r="BI14" s="54" t="s">
        <v>391</v>
      </c>
      <c r="BJ14" s="54" t="s">
        <v>391</v>
      </c>
      <c r="BK14" s="54" t="s">
        <v>391</v>
      </c>
      <c r="BL14" s="53" t="s">
        <v>392</v>
      </c>
      <c r="BM14" s="54" t="s">
        <v>392</v>
      </c>
      <c r="BN14" s="54" t="s">
        <v>392</v>
      </c>
      <c r="BO14" s="54" t="s">
        <v>393</v>
      </c>
      <c r="BP14" s="54" t="s">
        <v>392</v>
      </c>
      <c r="BQ14" s="54" t="s">
        <v>392</v>
      </c>
      <c r="BR14" s="54" t="s">
        <v>392</v>
      </c>
      <c r="BS14" s="54" t="s">
        <v>393</v>
      </c>
      <c r="BT14" s="63" t="s">
        <v>392</v>
      </c>
      <c r="BU14" s="53" t="s">
        <v>392</v>
      </c>
      <c r="BV14" s="54" t="s">
        <v>392</v>
      </c>
      <c r="BW14" s="54" t="s">
        <v>392</v>
      </c>
      <c r="BX14" s="54" t="s">
        <v>392</v>
      </c>
      <c r="BY14" s="54" t="s">
        <v>392</v>
      </c>
      <c r="BZ14" s="54" t="s">
        <v>392</v>
      </c>
      <c r="CA14" s="54" t="s">
        <v>392</v>
      </c>
      <c r="CB14" s="54" t="s">
        <v>392</v>
      </c>
      <c r="CC14" s="54" t="s">
        <v>392</v>
      </c>
      <c r="CD14" s="57" t="s">
        <v>412</v>
      </c>
      <c r="CE14" s="51" t="s">
        <v>402</v>
      </c>
      <c r="CF14" s="51" t="s">
        <v>402</v>
      </c>
      <c r="CG14" s="51" t="s">
        <v>402</v>
      </c>
      <c r="CH14" s="51" t="s">
        <v>402</v>
      </c>
      <c r="CI14" s="51" t="s">
        <v>402</v>
      </c>
      <c r="CJ14" s="51" t="s">
        <v>402</v>
      </c>
      <c r="CK14" s="51" t="s">
        <v>402</v>
      </c>
      <c r="CL14" s="51" t="s">
        <v>402</v>
      </c>
      <c r="CM14" s="51" t="s">
        <v>402</v>
      </c>
      <c r="CN14" s="57" t="s">
        <v>412</v>
      </c>
      <c r="CO14" s="51" t="s">
        <v>396</v>
      </c>
      <c r="CP14" s="51" t="s">
        <v>396</v>
      </c>
      <c r="CQ14" s="51" t="s">
        <v>403</v>
      </c>
      <c r="CR14" s="51" t="s">
        <v>396</v>
      </c>
      <c r="CS14" s="51" t="s">
        <v>396</v>
      </c>
      <c r="CT14" s="51" t="s">
        <v>396</v>
      </c>
      <c r="CU14" s="51" t="s">
        <v>396</v>
      </c>
      <c r="CV14" s="51" t="s">
        <v>404</v>
      </c>
      <c r="CW14" s="57" t="s">
        <v>391</v>
      </c>
      <c r="CX14" s="51" t="s">
        <v>391</v>
      </c>
      <c r="CY14" s="51" t="s">
        <v>391</v>
      </c>
      <c r="CZ14" s="64" t="str">
        <f>IF(_xlfn.XLOOKUP(B14,[2]累计数据!$C$193:$C$245,[2]累计数据!$C$193:$C$245,"N")=B14,"Y","N")</f>
        <v>N</v>
      </c>
      <c r="DA14" s="58">
        <v>0.07</v>
      </c>
      <c r="DB14" s="59">
        <v>0.05</v>
      </c>
      <c r="DC14" s="59">
        <v>0.04</v>
      </c>
      <c r="DD14" s="65"/>
      <c r="DE14"/>
      <c r="DF14"/>
      <c r="DG14"/>
      <c r="DH14"/>
      <c r="DI14"/>
      <c r="DJ14" s="3"/>
    </row>
    <row r="15" customFormat="1" ht="22.5" customHeight="1" spans="1:114">
      <c r="A15" s="46">
        <v>11997</v>
      </c>
      <c r="B15" s="47" t="s">
        <v>413</v>
      </c>
      <c r="C15" s="48">
        <v>46091</v>
      </c>
      <c r="D15" s="49">
        <f>IF(_xlfn.XLOOKUP(A15,[1]分配表!J:J,[1]分配表!M:M)=0,"未出单",_xlfn.XLOOKUP(A15,[1]分配表!J:J,[1]分配表!M:M))</f>
        <v>46105</v>
      </c>
      <c r="E15" s="50" t="str">
        <f>_xlfn.XLOOKUP(A15,[1]分配表!A:A,[1]分配表!C:C)</f>
        <v>张潇</v>
      </c>
      <c r="F15" s="50" t="s">
        <v>39</v>
      </c>
      <c r="G15" s="50" t="s">
        <v>34</v>
      </c>
      <c r="H15" s="51">
        <v>0</v>
      </c>
      <c r="I15" s="51">
        <v>0</v>
      </c>
      <c r="J15" s="51">
        <v>1</v>
      </c>
      <c r="K15" s="51">
        <v>0</v>
      </c>
      <c r="L15" s="51">
        <v>2</v>
      </c>
      <c r="M15" s="51">
        <v>2</v>
      </c>
      <c r="N15" s="51">
        <v>3</v>
      </c>
      <c r="O15" s="51">
        <v>0</v>
      </c>
      <c r="P15" s="51">
        <v>1</v>
      </c>
      <c r="Q15" s="52">
        <f t="shared" si="0"/>
        <v>1</v>
      </c>
      <c r="R15" s="53">
        <v>0</v>
      </c>
      <c r="S15" s="54">
        <v>0</v>
      </c>
      <c r="T15" s="54">
        <v>139</v>
      </c>
      <c r="U15" s="54">
        <v>0</v>
      </c>
      <c r="V15" s="54">
        <v>278</v>
      </c>
      <c r="W15" s="54">
        <v>278</v>
      </c>
      <c r="X15" s="54">
        <v>410.05</v>
      </c>
      <c r="Y15" s="55">
        <v>0</v>
      </c>
      <c r="Z15" s="56">
        <v>139</v>
      </c>
      <c r="AA15" s="54">
        <f t="shared" si="1"/>
        <v>139</v>
      </c>
      <c r="AB15" s="57">
        <v>0</v>
      </c>
      <c r="AC15" s="51">
        <v>1</v>
      </c>
      <c r="AD15" s="51">
        <v>0</v>
      </c>
      <c r="AE15" s="51">
        <v>2</v>
      </c>
      <c r="AF15" s="51">
        <v>0</v>
      </c>
      <c r="AG15" s="51">
        <v>1</v>
      </c>
      <c r="AH15" s="51">
        <v>0</v>
      </c>
      <c r="AI15" s="51">
        <v>0</v>
      </c>
      <c r="AJ15" s="51">
        <v>0</v>
      </c>
      <c r="AK15" s="58" t="s">
        <v>390</v>
      </c>
      <c r="AL15" s="59">
        <v>0</v>
      </c>
      <c r="AM15" s="59">
        <v>1</v>
      </c>
      <c r="AN15" s="59">
        <v>0</v>
      </c>
      <c r="AO15" s="59">
        <v>1</v>
      </c>
      <c r="AP15" s="59">
        <v>0.666666666666667</v>
      </c>
      <c r="AQ15" s="59">
        <v>1</v>
      </c>
      <c r="AR15" s="59">
        <v>1</v>
      </c>
      <c r="AS15" s="59">
        <v>1</v>
      </c>
      <c r="AT15" s="60" t="s">
        <v>397</v>
      </c>
      <c r="AU15" s="61">
        <v>7</v>
      </c>
      <c r="AV15" s="61">
        <v>7</v>
      </c>
      <c r="AW15" s="61">
        <v>15</v>
      </c>
      <c r="AX15" s="61">
        <v>1</v>
      </c>
      <c r="AY15" s="61">
        <v>9</v>
      </c>
      <c r="AZ15" s="61">
        <v>2</v>
      </c>
      <c r="BA15" s="61">
        <v>9</v>
      </c>
      <c r="BB15" s="62">
        <v>16</v>
      </c>
      <c r="BC15" s="54" t="s">
        <v>120</v>
      </c>
      <c r="BD15" s="54" t="s">
        <v>120</v>
      </c>
      <c r="BE15" s="54" t="s">
        <v>398</v>
      </c>
      <c r="BF15" s="54" t="s">
        <v>398</v>
      </c>
      <c r="BG15" s="54" t="s">
        <v>398</v>
      </c>
      <c r="BH15" s="54" t="s">
        <v>398</v>
      </c>
      <c r="BI15" s="54" t="s">
        <v>398</v>
      </c>
      <c r="BJ15" s="54" t="s">
        <v>398</v>
      </c>
      <c r="BK15" s="54" t="s">
        <v>398</v>
      </c>
      <c r="BL15" s="53" t="s">
        <v>393</v>
      </c>
      <c r="BM15" s="54" t="s">
        <v>392</v>
      </c>
      <c r="BN15" s="54" t="s">
        <v>392</v>
      </c>
      <c r="BO15" s="54" t="s">
        <v>393</v>
      </c>
      <c r="BP15" s="54" t="s">
        <v>392</v>
      </c>
      <c r="BQ15" s="54" t="s">
        <v>393</v>
      </c>
      <c r="BR15" s="54" t="s">
        <v>392</v>
      </c>
      <c r="BS15" s="54" t="s">
        <v>392</v>
      </c>
      <c r="BT15" s="63" t="s">
        <v>392</v>
      </c>
      <c r="BU15" s="53" t="s">
        <v>393</v>
      </c>
      <c r="BV15" s="54" t="s">
        <v>392</v>
      </c>
      <c r="BW15" s="54" t="s">
        <v>392</v>
      </c>
      <c r="BX15" s="54" t="s">
        <v>392</v>
      </c>
      <c r="BY15" s="54" t="s">
        <v>392</v>
      </c>
      <c r="BZ15" s="54" t="s">
        <v>392</v>
      </c>
      <c r="CA15" s="54" t="s">
        <v>392</v>
      </c>
      <c r="CB15" s="54" t="s">
        <v>392</v>
      </c>
      <c r="CC15" s="54" t="s">
        <v>392</v>
      </c>
      <c r="CD15" s="57" t="s">
        <v>412</v>
      </c>
      <c r="CE15" s="51" t="s">
        <v>394</v>
      </c>
      <c r="CF15" s="51" t="s">
        <v>402</v>
      </c>
      <c r="CG15" s="51" t="s">
        <v>394</v>
      </c>
      <c r="CH15" s="51" t="s">
        <v>392</v>
      </c>
      <c r="CI15" s="51" t="s">
        <v>392</v>
      </c>
      <c r="CJ15" s="51" t="s">
        <v>402</v>
      </c>
      <c r="CK15" s="51" t="s">
        <v>392</v>
      </c>
      <c r="CL15" s="51" t="s">
        <v>392</v>
      </c>
      <c r="CM15" s="51" t="s">
        <v>392</v>
      </c>
      <c r="CN15" s="57" t="s">
        <v>412</v>
      </c>
      <c r="CO15" s="51" t="s">
        <v>414</v>
      </c>
      <c r="CP15" s="51" t="s">
        <v>397</v>
      </c>
      <c r="CQ15" s="51" t="s">
        <v>400</v>
      </c>
      <c r="CR15" s="51" t="s">
        <v>396</v>
      </c>
      <c r="CS15" s="51" t="s">
        <v>396</v>
      </c>
      <c r="CT15" s="51" t="s">
        <v>400</v>
      </c>
      <c r="CU15" s="51" t="s">
        <v>396</v>
      </c>
      <c r="CV15" s="51" t="s">
        <v>396</v>
      </c>
      <c r="CW15" s="57" t="s">
        <v>398</v>
      </c>
      <c r="CX15" s="51" t="s">
        <v>398</v>
      </c>
      <c r="CY15" s="51" t="s">
        <v>398</v>
      </c>
      <c r="CZ15" s="64" t="str">
        <f>IF(_xlfn.XLOOKUP(B15,[2]累计数据!$C$193:$C$245,[2]累计数据!$C$193:$C$245,"N")=B15,"Y","N")</f>
        <v>N</v>
      </c>
      <c r="DA15" s="58">
        <v>0.02</v>
      </c>
      <c r="DB15" s="59">
        <v>0.02</v>
      </c>
      <c r="DC15" s="59">
        <v>0.02</v>
      </c>
      <c r="DD15" s="65"/>
      <c r="DE15"/>
      <c r="DF15"/>
      <c r="DG15"/>
      <c r="DH15"/>
      <c r="DI15"/>
      <c r="DJ15" s="3"/>
    </row>
    <row r="16" customFormat="1" ht="22.5" customHeight="1" spans="1:114">
      <c r="A16" s="46">
        <v>12262</v>
      </c>
      <c r="B16" s="47" t="s">
        <v>415</v>
      </c>
      <c r="C16" s="48">
        <v>46091</v>
      </c>
      <c r="D16" s="49">
        <f>IF(_xlfn.XLOOKUP(A16,[1]分配表!J:J,[1]分配表!M:M)=0,"未出单",_xlfn.XLOOKUP(A16,[1]分配表!J:J,[1]分配表!M:M))</f>
        <v>46094</v>
      </c>
      <c r="E16" s="50" t="str">
        <f>_xlfn.XLOOKUP(A16,[1]分配表!A:A,[1]分配表!C:C)</f>
        <v>张潇</v>
      </c>
      <c r="F16" s="50" t="s">
        <v>33</v>
      </c>
      <c r="G16" s="50" t="s">
        <v>34</v>
      </c>
      <c r="H16" s="51">
        <v>0</v>
      </c>
      <c r="I16" s="51">
        <v>1</v>
      </c>
      <c r="J16" s="51">
        <v>1</v>
      </c>
      <c r="K16" s="51">
        <v>1</v>
      </c>
      <c r="L16" s="51">
        <v>2</v>
      </c>
      <c r="M16" s="51">
        <v>2</v>
      </c>
      <c r="N16" s="51">
        <v>0</v>
      </c>
      <c r="O16" s="51">
        <v>0</v>
      </c>
      <c r="P16" s="51">
        <v>1</v>
      </c>
      <c r="Q16" s="52">
        <f t="shared" si="0"/>
        <v>1</v>
      </c>
      <c r="R16" s="53">
        <v>0</v>
      </c>
      <c r="S16" s="54">
        <v>142</v>
      </c>
      <c r="T16" s="54">
        <v>142</v>
      </c>
      <c r="U16" s="54">
        <v>142</v>
      </c>
      <c r="V16" s="54">
        <v>284</v>
      </c>
      <c r="W16" s="54">
        <v>284</v>
      </c>
      <c r="X16" s="54">
        <v>0</v>
      </c>
      <c r="Y16" s="55">
        <v>0</v>
      </c>
      <c r="Z16" s="56">
        <v>142</v>
      </c>
      <c r="AA16" s="54">
        <f t="shared" si="1"/>
        <v>142</v>
      </c>
      <c r="AB16" s="57">
        <v>0</v>
      </c>
      <c r="AC16" s="51">
        <v>1</v>
      </c>
      <c r="AD16" s="51">
        <v>0</v>
      </c>
      <c r="AE16" s="51">
        <v>0</v>
      </c>
      <c r="AF16" s="51">
        <v>1</v>
      </c>
      <c r="AG16" s="51">
        <v>0</v>
      </c>
      <c r="AH16" s="51">
        <v>0</v>
      </c>
      <c r="AI16" s="51">
        <v>0</v>
      </c>
      <c r="AJ16" s="51">
        <v>0</v>
      </c>
      <c r="AK16" s="58" t="s">
        <v>390</v>
      </c>
      <c r="AL16" s="59">
        <v>0.5</v>
      </c>
      <c r="AM16" s="59">
        <v>1</v>
      </c>
      <c r="AN16" s="59">
        <v>1</v>
      </c>
      <c r="AO16" s="59">
        <v>0.666666666666667</v>
      </c>
      <c r="AP16" s="59">
        <v>1</v>
      </c>
      <c r="AQ16" s="59">
        <v>1</v>
      </c>
      <c r="AR16" s="59" t="s">
        <v>390</v>
      </c>
      <c r="AS16" s="59" t="s">
        <v>390</v>
      </c>
      <c r="AT16" s="60" t="s">
        <v>397</v>
      </c>
      <c r="AU16" s="61">
        <v>7</v>
      </c>
      <c r="AV16" s="61">
        <v>14</v>
      </c>
      <c r="AW16" s="61">
        <v>3</v>
      </c>
      <c r="AX16" s="61">
        <v>9</v>
      </c>
      <c r="AY16" s="61">
        <v>5</v>
      </c>
      <c r="AZ16" s="61">
        <v>11</v>
      </c>
      <c r="BA16" s="61">
        <v>18</v>
      </c>
      <c r="BB16" s="62">
        <v>25</v>
      </c>
      <c r="BC16" s="54" t="s">
        <v>120</v>
      </c>
      <c r="BD16" s="54" t="s">
        <v>391</v>
      </c>
      <c r="BE16" s="54" t="s">
        <v>391</v>
      </c>
      <c r="BF16" s="54" t="s">
        <v>391</v>
      </c>
      <c r="BG16" s="54" t="s">
        <v>391</v>
      </c>
      <c r="BH16" s="54" t="s">
        <v>391</v>
      </c>
      <c r="BI16" s="54" t="s">
        <v>391</v>
      </c>
      <c r="BJ16" s="54" t="s">
        <v>391</v>
      </c>
      <c r="BK16" s="54" t="s">
        <v>391</v>
      </c>
      <c r="BL16" s="53" t="s">
        <v>393</v>
      </c>
      <c r="BM16" s="54" t="s">
        <v>392</v>
      </c>
      <c r="BN16" s="54" t="s">
        <v>393</v>
      </c>
      <c r="BO16" s="54" t="s">
        <v>392</v>
      </c>
      <c r="BP16" s="54" t="s">
        <v>393</v>
      </c>
      <c r="BQ16" s="54" t="s">
        <v>392</v>
      </c>
      <c r="BR16" s="54" t="s">
        <v>392</v>
      </c>
      <c r="BS16" s="54" t="s">
        <v>392</v>
      </c>
      <c r="BT16" s="63" t="s">
        <v>392</v>
      </c>
      <c r="BU16" s="53" t="s">
        <v>393</v>
      </c>
      <c r="BV16" s="54" t="s">
        <v>392</v>
      </c>
      <c r="BW16" s="54" t="s">
        <v>392</v>
      </c>
      <c r="BX16" s="54" t="s">
        <v>392</v>
      </c>
      <c r="BY16" s="54" t="s">
        <v>392</v>
      </c>
      <c r="BZ16" s="54" t="s">
        <v>392</v>
      </c>
      <c r="CA16" s="54" t="s">
        <v>392</v>
      </c>
      <c r="CB16" s="54" t="s">
        <v>392</v>
      </c>
      <c r="CC16" s="54" t="s">
        <v>392</v>
      </c>
      <c r="CD16" s="57" t="s">
        <v>412</v>
      </c>
      <c r="CE16" s="51" t="s">
        <v>394</v>
      </c>
      <c r="CF16" s="51" t="s">
        <v>402</v>
      </c>
      <c r="CG16" s="51" t="s">
        <v>392</v>
      </c>
      <c r="CH16" s="51" t="s">
        <v>392</v>
      </c>
      <c r="CI16" s="51" t="s">
        <v>402</v>
      </c>
      <c r="CJ16" s="51" t="s">
        <v>392</v>
      </c>
      <c r="CK16" s="51" t="s">
        <v>392</v>
      </c>
      <c r="CL16" s="51" t="s">
        <v>394</v>
      </c>
      <c r="CM16" s="51" t="s">
        <v>406</v>
      </c>
      <c r="CN16" s="57" t="s">
        <v>412</v>
      </c>
      <c r="CO16" s="51" t="s">
        <v>400</v>
      </c>
      <c r="CP16" s="51" t="s">
        <v>396</v>
      </c>
      <c r="CQ16" s="51" t="s">
        <v>396</v>
      </c>
      <c r="CR16" s="51" t="s">
        <v>396</v>
      </c>
      <c r="CS16" s="51" t="s">
        <v>400</v>
      </c>
      <c r="CT16" s="51" t="s">
        <v>396</v>
      </c>
      <c r="CU16" s="51" t="s">
        <v>396</v>
      </c>
      <c r="CV16" s="51" t="s">
        <v>396</v>
      </c>
      <c r="CW16" s="57" t="s">
        <v>398</v>
      </c>
      <c r="CX16" s="51" t="s">
        <v>398</v>
      </c>
      <c r="CY16" s="51" t="s">
        <v>398</v>
      </c>
      <c r="CZ16" s="64" t="str">
        <f>IF(_xlfn.XLOOKUP(B16,[2]累计数据!$C$193:$C$245,[2]累计数据!$C$193:$C$245,"N")=B16,"Y","N")</f>
        <v>N</v>
      </c>
      <c r="DA16" s="58">
        <v>0.02</v>
      </c>
      <c r="DB16" s="59">
        <v>0.02</v>
      </c>
      <c r="DC16" s="59">
        <v>0.02</v>
      </c>
      <c r="DD16" s="65"/>
      <c r="DE16"/>
      <c r="DF16"/>
      <c r="DG16"/>
      <c r="DH16"/>
      <c r="DI16"/>
      <c r="DJ16" s="3"/>
    </row>
    <row r="17" customFormat="1" ht="22.5" customHeight="1" spans="1:114">
      <c r="A17" s="46">
        <v>12244</v>
      </c>
      <c r="B17" s="47" t="s">
        <v>139</v>
      </c>
      <c r="C17" s="48">
        <v>46091</v>
      </c>
      <c r="D17" s="49">
        <f>IF(_xlfn.XLOOKUP(A17,[1]分配表!J:J,[1]分配表!M:M)=0,"未出单",_xlfn.XLOOKUP(A17,[1]分配表!J:J,[1]分配表!M:M))</f>
        <v>46101</v>
      </c>
      <c r="E17" s="50" t="str">
        <f>_xlfn.XLOOKUP(A17,[1]分配表!A:A,[1]分配表!C:C)</f>
        <v>张潇</v>
      </c>
      <c r="F17" s="50" t="s">
        <v>39</v>
      </c>
      <c r="G17" s="50" t="s">
        <v>34</v>
      </c>
      <c r="H17" s="51">
        <v>0</v>
      </c>
      <c r="I17" s="51">
        <v>0</v>
      </c>
      <c r="J17" s="51">
        <v>1</v>
      </c>
      <c r="K17" s="51">
        <v>3</v>
      </c>
      <c r="L17" s="51">
        <v>2</v>
      </c>
      <c r="M17" s="51">
        <v>0</v>
      </c>
      <c r="N17" s="51">
        <v>1</v>
      </c>
      <c r="O17" s="51">
        <v>0</v>
      </c>
      <c r="P17" s="51">
        <v>0</v>
      </c>
      <c r="Q17" s="52">
        <f t="shared" si="0"/>
        <v>0</v>
      </c>
      <c r="R17" s="53">
        <v>0</v>
      </c>
      <c r="S17" s="54">
        <v>0</v>
      </c>
      <c r="T17" s="54">
        <v>38</v>
      </c>
      <c r="U17" s="54">
        <v>114</v>
      </c>
      <c r="V17" s="54">
        <v>76</v>
      </c>
      <c r="W17" s="54">
        <v>0</v>
      </c>
      <c r="X17" s="54">
        <v>38</v>
      </c>
      <c r="Y17" s="55">
        <v>0</v>
      </c>
      <c r="Z17" s="56">
        <v>0</v>
      </c>
      <c r="AA17" s="54">
        <f t="shared" si="1"/>
        <v>0</v>
      </c>
      <c r="AB17" s="57">
        <v>0</v>
      </c>
      <c r="AC17" s="51">
        <v>0</v>
      </c>
      <c r="AD17" s="51">
        <v>1</v>
      </c>
      <c r="AE17" s="51">
        <v>0</v>
      </c>
      <c r="AF17" s="51">
        <v>0</v>
      </c>
      <c r="AG17" s="51">
        <v>0</v>
      </c>
      <c r="AH17" s="51">
        <v>1</v>
      </c>
      <c r="AI17" s="51">
        <v>0</v>
      </c>
      <c r="AJ17" s="51">
        <v>1</v>
      </c>
      <c r="AK17" s="58" t="s">
        <v>390</v>
      </c>
      <c r="AL17" s="59" t="s">
        <v>390</v>
      </c>
      <c r="AM17" s="59">
        <v>0.5</v>
      </c>
      <c r="AN17" s="59">
        <v>1</v>
      </c>
      <c r="AO17" s="59">
        <v>1</v>
      </c>
      <c r="AP17" s="59">
        <v>0</v>
      </c>
      <c r="AQ17" s="59">
        <v>0.5</v>
      </c>
      <c r="AR17" s="59" t="s">
        <v>390</v>
      </c>
      <c r="AS17" s="59">
        <v>0</v>
      </c>
      <c r="AT17" s="60" t="s">
        <v>397</v>
      </c>
      <c r="AU17" s="61">
        <v>7</v>
      </c>
      <c r="AV17" s="61">
        <v>7</v>
      </c>
      <c r="AW17" s="61">
        <v>15</v>
      </c>
      <c r="AX17" s="61">
        <v>0</v>
      </c>
      <c r="AY17" s="61">
        <v>8</v>
      </c>
      <c r="AZ17" s="61">
        <v>0</v>
      </c>
      <c r="BA17" s="61">
        <v>0</v>
      </c>
      <c r="BB17" s="62">
        <v>7</v>
      </c>
      <c r="BC17" s="54" t="s">
        <v>120</v>
      </c>
      <c r="BD17" s="54" t="s">
        <v>120</v>
      </c>
      <c r="BE17" s="54" t="s">
        <v>398</v>
      </c>
      <c r="BF17" s="54" t="s">
        <v>398</v>
      </c>
      <c r="BG17" s="54" t="s">
        <v>398</v>
      </c>
      <c r="BH17" s="54" t="s">
        <v>398</v>
      </c>
      <c r="BI17" s="54" t="s">
        <v>398</v>
      </c>
      <c r="BJ17" s="54" t="s">
        <v>398</v>
      </c>
      <c r="BK17" s="54" t="s">
        <v>398</v>
      </c>
      <c r="BL17" s="53" t="s">
        <v>393</v>
      </c>
      <c r="BM17" s="54" t="s">
        <v>392</v>
      </c>
      <c r="BN17" s="54" t="s">
        <v>392</v>
      </c>
      <c r="BO17" s="54" t="s">
        <v>393</v>
      </c>
      <c r="BP17" s="54" t="s">
        <v>392</v>
      </c>
      <c r="BQ17" s="54" t="s">
        <v>392</v>
      </c>
      <c r="BR17" s="54" t="s">
        <v>392</v>
      </c>
      <c r="BS17" s="54" t="s">
        <v>392</v>
      </c>
      <c r="BT17" s="63" t="s">
        <v>393</v>
      </c>
      <c r="BU17" s="53" t="s">
        <v>393</v>
      </c>
      <c r="BV17" s="54" t="s">
        <v>392</v>
      </c>
      <c r="BW17" s="54" t="s">
        <v>392</v>
      </c>
      <c r="BX17" s="54" t="s">
        <v>392</v>
      </c>
      <c r="BY17" s="54" t="s">
        <v>392</v>
      </c>
      <c r="BZ17" s="54" t="s">
        <v>392</v>
      </c>
      <c r="CA17" s="54" t="s">
        <v>392</v>
      </c>
      <c r="CB17" s="54" t="s">
        <v>392</v>
      </c>
      <c r="CC17" s="54" t="s">
        <v>392</v>
      </c>
      <c r="CD17" s="57" t="s">
        <v>412</v>
      </c>
      <c r="CE17" s="51" t="s">
        <v>394</v>
      </c>
      <c r="CF17" s="51" t="s">
        <v>394</v>
      </c>
      <c r="CG17" s="51" t="s">
        <v>402</v>
      </c>
      <c r="CH17" s="51" t="s">
        <v>392</v>
      </c>
      <c r="CI17" s="51" t="s">
        <v>392</v>
      </c>
      <c r="CJ17" s="51" t="s">
        <v>392</v>
      </c>
      <c r="CK17" s="51" t="s">
        <v>402</v>
      </c>
      <c r="CL17" s="51" t="s">
        <v>394</v>
      </c>
      <c r="CM17" s="51" t="s">
        <v>402</v>
      </c>
      <c r="CN17" s="57" t="s">
        <v>412</v>
      </c>
      <c r="CO17" s="51" t="s">
        <v>409</v>
      </c>
      <c r="CP17" s="51" t="s">
        <v>397</v>
      </c>
      <c r="CQ17" s="51" t="s">
        <v>400</v>
      </c>
      <c r="CR17" s="51" t="s">
        <v>396</v>
      </c>
      <c r="CS17" s="51" t="s">
        <v>396</v>
      </c>
      <c r="CT17" s="51" t="s">
        <v>396</v>
      </c>
      <c r="CU17" s="51" t="s">
        <v>396</v>
      </c>
      <c r="CV17" s="51" t="s">
        <v>396</v>
      </c>
      <c r="CW17" s="57" t="s">
        <v>391</v>
      </c>
      <c r="CX17" s="51" t="s">
        <v>391</v>
      </c>
      <c r="CY17" s="51" t="s">
        <v>391</v>
      </c>
      <c r="CZ17" s="64" t="str">
        <f>IF(_xlfn.XLOOKUP(B17,[2]累计数据!$C$193:$C$245,[2]累计数据!$C$193:$C$245,"N")=B17,"Y","N")</f>
        <v>Y</v>
      </c>
      <c r="DA17" s="58">
        <v>0.02</v>
      </c>
      <c r="DB17" s="59">
        <v>0</v>
      </c>
      <c r="DC17" s="59">
        <v>0</v>
      </c>
      <c r="DD17" s="65"/>
      <c r="DE17"/>
      <c r="DF17"/>
      <c r="DG17"/>
      <c r="DH17"/>
      <c r="DI17"/>
      <c r="DJ17" s="3"/>
    </row>
    <row r="18" customFormat="1" ht="22.5" customHeight="1" spans="1:114">
      <c r="A18" s="46">
        <v>12243</v>
      </c>
      <c r="B18" s="47" t="s">
        <v>136</v>
      </c>
      <c r="C18" s="48">
        <v>46091</v>
      </c>
      <c r="D18" s="49">
        <f>IF(_xlfn.XLOOKUP(A18,[1]分配表!J:J,[1]分配表!M:M)=0,"未出单",_xlfn.XLOOKUP(A18,[1]分配表!J:J,[1]分配表!M:M))</f>
        <v>46106</v>
      </c>
      <c r="E18" s="50" t="str">
        <f>_xlfn.XLOOKUP(A18,[1]分配表!A:A,[1]分配表!C:C)</f>
        <v>张潇</v>
      </c>
      <c r="F18" s="50" t="s">
        <v>39</v>
      </c>
      <c r="G18" s="50" t="s">
        <v>34</v>
      </c>
      <c r="H18" s="51">
        <v>0</v>
      </c>
      <c r="I18" s="51">
        <v>0</v>
      </c>
      <c r="J18" s="51">
        <v>1</v>
      </c>
      <c r="K18" s="51">
        <v>5</v>
      </c>
      <c r="L18" s="51">
        <v>0</v>
      </c>
      <c r="M18" s="51">
        <v>0</v>
      </c>
      <c r="N18" s="51">
        <v>1</v>
      </c>
      <c r="O18" s="51">
        <v>1</v>
      </c>
      <c r="P18" s="51">
        <v>1</v>
      </c>
      <c r="Q18" s="52">
        <f t="shared" si="0"/>
        <v>0</v>
      </c>
      <c r="R18" s="53">
        <v>0</v>
      </c>
      <c r="S18" s="54">
        <v>0</v>
      </c>
      <c r="T18" s="54">
        <v>38</v>
      </c>
      <c r="U18" s="54">
        <v>190</v>
      </c>
      <c r="V18" s="54">
        <v>0</v>
      </c>
      <c r="W18" s="54">
        <v>0</v>
      </c>
      <c r="X18" s="54">
        <v>38</v>
      </c>
      <c r="Y18" s="55">
        <v>38</v>
      </c>
      <c r="Z18" s="56">
        <v>38</v>
      </c>
      <c r="AA18" s="54">
        <f t="shared" si="1"/>
        <v>0</v>
      </c>
      <c r="AB18" s="57">
        <v>0</v>
      </c>
      <c r="AC18" s="51">
        <v>3</v>
      </c>
      <c r="AD18" s="51">
        <v>1</v>
      </c>
      <c r="AE18" s="51">
        <v>0</v>
      </c>
      <c r="AF18" s="51">
        <v>2</v>
      </c>
      <c r="AG18" s="51">
        <v>2</v>
      </c>
      <c r="AH18" s="51">
        <v>1</v>
      </c>
      <c r="AI18" s="51">
        <v>2</v>
      </c>
      <c r="AJ18" s="51">
        <v>1</v>
      </c>
      <c r="AK18" s="58" t="s">
        <v>390</v>
      </c>
      <c r="AL18" s="59">
        <v>0</v>
      </c>
      <c r="AM18" s="59">
        <v>0.5</v>
      </c>
      <c r="AN18" s="59">
        <v>1</v>
      </c>
      <c r="AO18" s="59">
        <v>0</v>
      </c>
      <c r="AP18" s="59">
        <v>0</v>
      </c>
      <c r="AQ18" s="59">
        <v>0.5</v>
      </c>
      <c r="AR18" s="59">
        <v>0.3333</v>
      </c>
      <c r="AS18" s="59">
        <v>0.5</v>
      </c>
      <c r="AT18" s="60" t="s">
        <v>397</v>
      </c>
      <c r="AU18" s="61">
        <v>7</v>
      </c>
      <c r="AV18" s="61">
        <v>7</v>
      </c>
      <c r="AW18" s="61">
        <v>15</v>
      </c>
      <c r="AX18" s="61">
        <v>0</v>
      </c>
      <c r="AY18" s="61">
        <v>8</v>
      </c>
      <c r="AZ18" s="61">
        <v>14</v>
      </c>
      <c r="BA18" s="61">
        <v>0</v>
      </c>
      <c r="BB18" s="62">
        <v>7</v>
      </c>
      <c r="BC18" s="54" t="s">
        <v>120</v>
      </c>
      <c r="BD18" s="54" t="s">
        <v>120</v>
      </c>
      <c r="BE18" s="54" t="s">
        <v>398</v>
      </c>
      <c r="BF18" s="54" t="s">
        <v>398</v>
      </c>
      <c r="BG18" s="54" t="s">
        <v>398</v>
      </c>
      <c r="BH18" s="54" t="s">
        <v>398</v>
      </c>
      <c r="BI18" s="54" t="s">
        <v>398</v>
      </c>
      <c r="BJ18" s="54" t="s">
        <v>398</v>
      </c>
      <c r="BK18" s="54" t="s">
        <v>398</v>
      </c>
      <c r="BL18" s="53" t="s">
        <v>393</v>
      </c>
      <c r="BM18" s="54" t="s">
        <v>392</v>
      </c>
      <c r="BN18" s="54" t="s">
        <v>392</v>
      </c>
      <c r="BO18" s="54" t="s">
        <v>393</v>
      </c>
      <c r="BP18" s="54" t="s">
        <v>392</v>
      </c>
      <c r="BQ18" s="54" t="s">
        <v>392</v>
      </c>
      <c r="BR18" s="54" t="s">
        <v>393</v>
      </c>
      <c r="BS18" s="54" t="s">
        <v>392</v>
      </c>
      <c r="BT18" s="63" t="s">
        <v>393</v>
      </c>
      <c r="BU18" s="53" t="s">
        <v>393</v>
      </c>
      <c r="BV18" s="54" t="s">
        <v>392</v>
      </c>
      <c r="BW18" s="54" t="s">
        <v>392</v>
      </c>
      <c r="BX18" s="54" t="s">
        <v>392</v>
      </c>
      <c r="BY18" s="54" t="s">
        <v>392</v>
      </c>
      <c r="BZ18" s="54" t="s">
        <v>392</v>
      </c>
      <c r="CA18" s="54" t="s">
        <v>392</v>
      </c>
      <c r="CB18" s="54" t="s">
        <v>392</v>
      </c>
      <c r="CC18" s="54" t="s">
        <v>392</v>
      </c>
      <c r="CD18" s="57" t="s">
        <v>412</v>
      </c>
      <c r="CE18" s="51" t="s">
        <v>394</v>
      </c>
      <c r="CF18" s="51" t="s">
        <v>402</v>
      </c>
      <c r="CG18" s="51" t="s">
        <v>402</v>
      </c>
      <c r="CH18" s="51" t="s">
        <v>392</v>
      </c>
      <c r="CI18" s="51" t="s">
        <v>402</v>
      </c>
      <c r="CJ18" s="51" t="s">
        <v>394</v>
      </c>
      <c r="CK18" s="51" t="s">
        <v>402</v>
      </c>
      <c r="CL18" s="51" t="s">
        <v>402</v>
      </c>
      <c r="CM18" s="51" t="s">
        <v>402</v>
      </c>
      <c r="CN18" s="57" t="s">
        <v>412</v>
      </c>
      <c r="CO18" s="51" t="s">
        <v>409</v>
      </c>
      <c r="CP18" s="51" t="s">
        <v>397</v>
      </c>
      <c r="CQ18" s="51" t="s">
        <v>400</v>
      </c>
      <c r="CR18" s="51" t="s">
        <v>396</v>
      </c>
      <c r="CS18" s="51" t="s">
        <v>396</v>
      </c>
      <c r="CT18" s="51" t="s">
        <v>396</v>
      </c>
      <c r="CU18" s="51" t="s">
        <v>400</v>
      </c>
      <c r="CV18" s="51" t="s">
        <v>396</v>
      </c>
      <c r="CW18" s="57" t="s">
        <v>391</v>
      </c>
      <c r="CX18" s="51" t="s">
        <v>391</v>
      </c>
      <c r="CY18" s="51" t="s">
        <v>391</v>
      </c>
      <c r="CZ18" s="64" t="str">
        <f>IF(_xlfn.XLOOKUP(B18,[2]累计数据!$C$193:$C$245,[2]累计数据!$C$193:$C$245,"N")=B18,"Y","N")</f>
        <v>Y</v>
      </c>
      <c r="DA18" s="58">
        <v>0.02</v>
      </c>
      <c r="DB18" s="59">
        <v>0.02</v>
      </c>
      <c r="DC18" s="59">
        <v>0</v>
      </c>
      <c r="DD18" s="65"/>
      <c r="DE18"/>
      <c r="DF18"/>
      <c r="DG18"/>
      <c r="DH18"/>
      <c r="DI18"/>
      <c r="DJ18" s="3"/>
    </row>
    <row r="19" customFormat="1" ht="22.5" customHeight="1" spans="1:114">
      <c r="A19" s="46">
        <v>12304</v>
      </c>
      <c r="B19" s="47" t="s">
        <v>416</v>
      </c>
      <c r="C19" s="48">
        <v>46092</v>
      </c>
      <c r="D19" s="49">
        <f>IF(_xlfn.XLOOKUP(A19,[1]分配表!J:J,[1]分配表!M:M)=0,"未出单",_xlfn.XLOOKUP(A19,[1]分配表!J:J,[1]分配表!M:M))</f>
        <v>46095</v>
      </c>
      <c r="E19" s="50" t="str">
        <f>_xlfn.XLOOKUP(A19,[1]分配表!A:A,[1]分配表!C:C)</f>
        <v>俞东旭</v>
      </c>
      <c r="F19" s="50" t="s">
        <v>44</v>
      </c>
      <c r="G19" s="50" t="s">
        <v>34</v>
      </c>
      <c r="H19" s="51">
        <v>0</v>
      </c>
      <c r="I19" s="51">
        <v>2</v>
      </c>
      <c r="J19" s="51">
        <v>3</v>
      </c>
      <c r="K19" s="51">
        <v>2</v>
      </c>
      <c r="L19" s="51">
        <v>2</v>
      </c>
      <c r="M19" s="51">
        <v>0</v>
      </c>
      <c r="N19" s="51">
        <v>0</v>
      </c>
      <c r="O19" s="51">
        <v>1</v>
      </c>
      <c r="P19" s="51">
        <v>0</v>
      </c>
      <c r="Q19" s="52">
        <f t="shared" si="0"/>
        <v>-1</v>
      </c>
      <c r="R19" s="53">
        <v>0</v>
      </c>
      <c r="S19" s="54">
        <v>998</v>
      </c>
      <c r="T19" s="54">
        <v>1497</v>
      </c>
      <c r="U19" s="54">
        <v>998</v>
      </c>
      <c r="V19" s="54">
        <v>998</v>
      </c>
      <c r="W19" s="54">
        <v>0</v>
      </c>
      <c r="X19" s="54">
        <v>0</v>
      </c>
      <c r="Y19" s="55">
        <v>499</v>
      </c>
      <c r="Z19" s="56">
        <v>0</v>
      </c>
      <c r="AA19" s="54">
        <f t="shared" si="1"/>
        <v>-499</v>
      </c>
      <c r="AB19" s="57">
        <v>0</v>
      </c>
      <c r="AC19" s="51">
        <v>0</v>
      </c>
      <c r="AD19" s="51">
        <v>0</v>
      </c>
      <c r="AE19" s="51">
        <v>0</v>
      </c>
      <c r="AF19" s="51">
        <v>1</v>
      </c>
      <c r="AG19" s="51">
        <v>1</v>
      </c>
      <c r="AH19" s="51">
        <v>1</v>
      </c>
      <c r="AI19" s="51">
        <v>0</v>
      </c>
      <c r="AJ19" s="51">
        <v>1</v>
      </c>
      <c r="AK19" s="58" t="s">
        <v>390</v>
      </c>
      <c r="AL19" s="59">
        <v>1</v>
      </c>
      <c r="AM19" s="59">
        <v>1</v>
      </c>
      <c r="AN19" s="59">
        <v>1</v>
      </c>
      <c r="AO19" s="59">
        <v>0.666666666666667</v>
      </c>
      <c r="AP19" s="59">
        <v>0</v>
      </c>
      <c r="AQ19" s="59">
        <v>0</v>
      </c>
      <c r="AR19" s="59">
        <v>1</v>
      </c>
      <c r="AS19" s="59">
        <v>0</v>
      </c>
      <c r="AT19" s="60" t="s">
        <v>412</v>
      </c>
      <c r="AU19" s="61">
        <v>6</v>
      </c>
      <c r="AV19" s="61">
        <v>0</v>
      </c>
      <c r="AW19" s="61">
        <v>8</v>
      </c>
      <c r="AX19" s="61">
        <v>0</v>
      </c>
      <c r="AY19" s="61">
        <v>8</v>
      </c>
      <c r="AZ19" s="61">
        <v>5</v>
      </c>
      <c r="BA19" s="61">
        <v>12</v>
      </c>
      <c r="BB19" s="62">
        <v>19</v>
      </c>
      <c r="BC19" s="54" t="s">
        <v>412</v>
      </c>
      <c r="BD19" s="54" t="s">
        <v>391</v>
      </c>
      <c r="BE19" s="54" t="s">
        <v>391</v>
      </c>
      <c r="BF19" s="54" t="s">
        <v>391</v>
      </c>
      <c r="BG19" s="54" t="s">
        <v>391</v>
      </c>
      <c r="BH19" s="54" t="s">
        <v>391</v>
      </c>
      <c r="BI19" s="54" t="s">
        <v>391</v>
      </c>
      <c r="BJ19" s="54" t="s">
        <v>391</v>
      </c>
      <c r="BK19" s="54" t="s">
        <v>391</v>
      </c>
      <c r="BL19" s="53" t="s">
        <v>412</v>
      </c>
      <c r="BM19" s="54" t="s">
        <v>392</v>
      </c>
      <c r="BN19" s="54" t="s">
        <v>392</v>
      </c>
      <c r="BO19" s="54" t="s">
        <v>393</v>
      </c>
      <c r="BP19" s="54" t="s">
        <v>392</v>
      </c>
      <c r="BQ19" s="54" t="s">
        <v>393</v>
      </c>
      <c r="BR19" s="54" t="s">
        <v>392</v>
      </c>
      <c r="BS19" s="54" t="s">
        <v>392</v>
      </c>
      <c r="BT19" s="63" t="s">
        <v>393</v>
      </c>
      <c r="BU19" s="53" t="s">
        <v>412</v>
      </c>
      <c r="BV19" s="54" t="s">
        <v>393</v>
      </c>
      <c r="BW19" s="54" t="s">
        <v>392</v>
      </c>
      <c r="BX19" s="54" t="s">
        <v>392</v>
      </c>
      <c r="BY19" s="54" t="s">
        <v>392</v>
      </c>
      <c r="BZ19" s="54" t="s">
        <v>392</v>
      </c>
      <c r="CA19" s="54" t="s">
        <v>392</v>
      </c>
      <c r="CB19" s="54" t="s">
        <v>392</v>
      </c>
      <c r="CC19" s="54" t="s">
        <v>392</v>
      </c>
      <c r="CD19" s="57" t="s">
        <v>412</v>
      </c>
      <c r="CE19" s="51" t="s">
        <v>412</v>
      </c>
      <c r="CF19" s="51" t="s">
        <v>392</v>
      </c>
      <c r="CG19" s="51" t="s">
        <v>392</v>
      </c>
      <c r="CH19" s="51" t="s">
        <v>392</v>
      </c>
      <c r="CI19" s="51" t="s">
        <v>402</v>
      </c>
      <c r="CJ19" s="51" t="s">
        <v>402</v>
      </c>
      <c r="CK19" s="51" t="s">
        <v>402</v>
      </c>
      <c r="CL19" s="51" t="s">
        <v>392</v>
      </c>
      <c r="CM19" s="51" t="s">
        <v>402</v>
      </c>
      <c r="CN19" s="57" t="s">
        <v>412</v>
      </c>
      <c r="CO19" s="51" t="s">
        <v>412</v>
      </c>
      <c r="CP19" s="51" t="s">
        <v>400</v>
      </c>
      <c r="CQ19" s="51" t="s">
        <v>404</v>
      </c>
      <c r="CR19" s="51" t="s">
        <v>396</v>
      </c>
      <c r="CS19" s="51" t="s">
        <v>396</v>
      </c>
      <c r="CT19" s="51" t="s">
        <v>404</v>
      </c>
      <c r="CU19" s="51" t="s">
        <v>396</v>
      </c>
      <c r="CV19" s="51" t="s">
        <v>396</v>
      </c>
      <c r="CW19" s="57" t="s">
        <v>398</v>
      </c>
      <c r="CX19" s="51" t="s">
        <v>398</v>
      </c>
      <c r="CY19" s="51" t="s">
        <v>398</v>
      </c>
      <c r="CZ19" s="64" t="str">
        <f>IF(_xlfn.XLOOKUP(B19,[2]累计数据!$C$193:$C$245,[2]累计数据!$C$193:$C$245,"N")=B19,"Y","N")</f>
        <v>N</v>
      </c>
      <c r="DA19" s="58">
        <v>0.02</v>
      </c>
      <c r="DB19" s="59">
        <v>0.02</v>
      </c>
      <c r="DC19" s="59">
        <v>0.02</v>
      </c>
      <c r="DD19" s="65"/>
      <c r="DE19"/>
      <c r="DF19"/>
      <c r="DG19"/>
      <c r="DH19"/>
      <c r="DI19"/>
      <c r="DJ19" s="3"/>
    </row>
    <row r="20" customFormat="1" ht="22.5" customHeight="1" spans="1:114">
      <c r="A20" s="46">
        <v>12085</v>
      </c>
      <c r="B20" s="47" t="s">
        <v>417</v>
      </c>
      <c r="C20" s="48">
        <v>46092</v>
      </c>
      <c r="D20" s="49">
        <f>IF(_xlfn.XLOOKUP(A20,[1]分配表!J:J,[1]分配表!M:M)=0,"未出单",_xlfn.XLOOKUP(A20,[1]分配表!J:J,[1]分配表!M:M))</f>
        <v>46099</v>
      </c>
      <c r="E20" s="50" t="str">
        <f>_xlfn.XLOOKUP(A20,[1]分配表!A:A,[1]分配表!C:C)</f>
        <v>张潇</v>
      </c>
      <c r="F20" s="50" t="s">
        <v>33</v>
      </c>
      <c r="G20" s="50" t="s">
        <v>45</v>
      </c>
      <c r="H20" s="51">
        <v>0</v>
      </c>
      <c r="I20" s="51">
        <v>1</v>
      </c>
      <c r="J20" s="51">
        <v>2</v>
      </c>
      <c r="K20" s="51">
        <v>2</v>
      </c>
      <c r="L20" s="51">
        <v>2</v>
      </c>
      <c r="M20" s="51">
        <v>6</v>
      </c>
      <c r="N20" s="51">
        <v>1</v>
      </c>
      <c r="O20" s="51">
        <v>1</v>
      </c>
      <c r="P20" s="51">
        <v>2</v>
      </c>
      <c r="Q20" s="52">
        <f t="shared" si="0"/>
        <v>1</v>
      </c>
      <c r="R20" s="53">
        <v>0</v>
      </c>
      <c r="S20" s="54">
        <v>85</v>
      </c>
      <c r="T20" s="54">
        <v>170</v>
      </c>
      <c r="U20" s="54">
        <v>170</v>
      </c>
      <c r="V20" s="54">
        <v>170</v>
      </c>
      <c r="W20" s="54">
        <v>505.75</v>
      </c>
      <c r="X20" s="54">
        <v>85</v>
      </c>
      <c r="Y20" s="55">
        <v>85</v>
      </c>
      <c r="Z20" s="56">
        <v>170</v>
      </c>
      <c r="AA20" s="54">
        <f t="shared" si="1"/>
        <v>85</v>
      </c>
      <c r="AB20" s="57">
        <v>0</v>
      </c>
      <c r="AC20" s="51">
        <v>3</v>
      </c>
      <c r="AD20" s="51">
        <v>0</v>
      </c>
      <c r="AE20" s="51">
        <v>3</v>
      </c>
      <c r="AF20" s="51">
        <v>4</v>
      </c>
      <c r="AG20" s="51">
        <v>2</v>
      </c>
      <c r="AH20" s="51">
        <v>1</v>
      </c>
      <c r="AI20" s="51">
        <v>3</v>
      </c>
      <c r="AJ20" s="51">
        <v>1</v>
      </c>
      <c r="AK20" s="58" t="s">
        <v>390</v>
      </c>
      <c r="AL20" s="59">
        <v>0</v>
      </c>
      <c r="AM20" s="59">
        <v>1</v>
      </c>
      <c r="AN20" s="59">
        <v>0.4</v>
      </c>
      <c r="AO20" s="59">
        <v>0.333333333333333</v>
      </c>
      <c r="AP20" s="59">
        <v>0.75</v>
      </c>
      <c r="AQ20" s="59">
        <v>0.6667</v>
      </c>
      <c r="AR20" s="59">
        <v>0</v>
      </c>
      <c r="AS20" s="59">
        <v>0.6667</v>
      </c>
      <c r="AT20" s="60" t="s">
        <v>412</v>
      </c>
      <c r="AU20" s="61">
        <v>6</v>
      </c>
      <c r="AV20" s="61">
        <v>2</v>
      </c>
      <c r="AW20" s="61">
        <v>10</v>
      </c>
      <c r="AX20" s="61">
        <v>0</v>
      </c>
      <c r="AY20" s="61">
        <v>8</v>
      </c>
      <c r="AZ20" s="61">
        <v>5</v>
      </c>
      <c r="BA20" s="61">
        <v>12</v>
      </c>
      <c r="BB20" s="62">
        <v>1</v>
      </c>
      <c r="BC20" s="54" t="s">
        <v>412</v>
      </c>
      <c r="BD20" s="54" t="s">
        <v>120</v>
      </c>
      <c r="BE20" s="54" t="s">
        <v>391</v>
      </c>
      <c r="BF20" s="54" t="s">
        <v>391</v>
      </c>
      <c r="BG20" s="54" t="s">
        <v>391</v>
      </c>
      <c r="BH20" s="54" t="s">
        <v>391</v>
      </c>
      <c r="BI20" s="54" t="s">
        <v>391</v>
      </c>
      <c r="BJ20" s="54" t="s">
        <v>391</v>
      </c>
      <c r="BK20" s="54" t="s">
        <v>391</v>
      </c>
      <c r="BL20" s="53" t="s">
        <v>412</v>
      </c>
      <c r="BM20" s="54" t="s">
        <v>392</v>
      </c>
      <c r="BN20" s="54" t="s">
        <v>392</v>
      </c>
      <c r="BO20" s="54" t="s">
        <v>393</v>
      </c>
      <c r="BP20" s="54" t="s">
        <v>392</v>
      </c>
      <c r="BQ20" s="54" t="s">
        <v>392</v>
      </c>
      <c r="BR20" s="54" t="s">
        <v>392</v>
      </c>
      <c r="BS20" s="54" t="s">
        <v>393</v>
      </c>
      <c r="BT20" s="63" t="s">
        <v>392</v>
      </c>
      <c r="BU20" s="53" t="s">
        <v>412</v>
      </c>
      <c r="BV20" s="54" t="s">
        <v>393</v>
      </c>
      <c r="BW20" s="54" t="s">
        <v>392</v>
      </c>
      <c r="BX20" s="54" t="s">
        <v>392</v>
      </c>
      <c r="BY20" s="54" t="s">
        <v>392</v>
      </c>
      <c r="BZ20" s="54" t="s">
        <v>392</v>
      </c>
      <c r="CA20" s="54" t="s">
        <v>392</v>
      </c>
      <c r="CB20" s="54" t="s">
        <v>392</v>
      </c>
      <c r="CC20" s="54" t="s">
        <v>392</v>
      </c>
      <c r="CD20" s="57" t="s">
        <v>412</v>
      </c>
      <c r="CE20" s="51" t="s">
        <v>412</v>
      </c>
      <c r="CF20" s="51" t="s">
        <v>402</v>
      </c>
      <c r="CG20" s="51" t="s">
        <v>402</v>
      </c>
      <c r="CH20" s="51" t="s">
        <v>402</v>
      </c>
      <c r="CI20" s="51" t="s">
        <v>402</v>
      </c>
      <c r="CJ20" s="51" t="s">
        <v>392</v>
      </c>
      <c r="CK20" s="51" t="s">
        <v>402</v>
      </c>
      <c r="CL20" s="51" t="s">
        <v>402</v>
      </c>
      <c r="CM20" s="51" t="s">
        <v>402</v>
      </c>
      <c r="CN20" s="57" t="s">
        <v>412</v>
      </c>
      <c r="CO20" s="51" t="s">
        <v>412</v>
      </c>
      <c r="CP20" s="51" t="s">
        <v>395</v>
      </c>
      <c r="CQ20" s="51" t="s">
        <v>400</v>
      </c>
      <c r="CR20" s="51" t="s">
        <v>396</v>
      </c>
      <c r="CS20" s="51" t="s">
        <v>396</v>
      </c>
      <c r="CT20" s="51" t="s">
        <v>396</v>
      </c>
      <c r="CU20" s="51" t="s">
        <v>396</v>
      </c>
      <c r="CV20" s="51" t="s">
        <v>400</v>
      </c>
      <c r="CW20" s="57" t="s">
        <v>398</v>
      </c>
      <c r="CX20" s="51" t="s">
        <v>398</v>
      </c>
      <c r="CY20" s="51" t="s">
        <v>398</v>
      </c>
      <c r="CZ20" s="64" t="str">
        <f>IF(_xlfn.XLOOKUP(B20,[2]累计数据!$C$193:$C$245,[2]累计数据!$C$193:$C$245,"N")=B20,"Y","N")</f>
        <v>N</v>
      </c>
      <c r="DA20" s="58">
        <v>0.02</v>
      </c>
      <c r="DB20" s="59">
        <v>0.02</v>
      </c>
      <c r="DC20" s="59">
        <v>0.02</v>
      </c>
      <c r="DD20" s="65"/>
      <c r="DE20"/>
      <c r="DF20"/>
      <c r="DG20"/>
      <c r="DH20"/>
      <c r="DI20"/>
      <c r="DJ20" s="3"/>
    </row>
    <row r="21" customFormat="1" ht="22.5" customHeight="1" spans="1:114">
      <c r="A21" s="46">
        <v>12086</v>
      </c>
      <c r="B21" s="47" t="s">
        <v>418</v>
      </c>
      <c r="C21" s="48">
        <v>46092</v>
      </c>
      <c r="D21" s="49">
        <f>IF(_xlfn.XLOOKUP(A21,[1]分配表!J:J,[1]分配表!M:M)=0,"未出单",_xlfn.XLOOKUP(A21,[1]分配表!J:J,[1]分配表!M:M))</f>
        <v>46100</v>
      </c>
      <c r="E21" s="50" t="str">
        <f>_xlfn.XLOOKUP(A21,[1]分配表!A:A,[1]分配表!C:C)</f>
        <v>张潇</v>
      </c>
      <c r="F21" s="50" t="s">
        <v>33</v>
      </c>
      <c r="G21" s="50" t="s">
        <v>34</v>
      </c>
      <c r="H21" s="51">
        <v>0</v>
      </c>
      <c r="I21" s="51">
        <v>0</v>
      </c>
      <c r="J21" s="51">
        <v>2</v>
      </c>
      <c r="K21" s="51">
        <v>4</v>
      </c>
      <c r="L21" s="51">
        <v>2</v>
      </c>
      <c r="M21" s="51">
        <v>2</v>
      </c>
      <c r="N21" s="51">
        <v>3</v>
      </c>
      <c r="O21" s="51">
        <v>8</v>
      </c>
      <c r="P21" s="51">
        <v>3</v>
      </c>
      <c r="Q21" s="52">
        <f t="shared" si="0"/>
        <v>-5</v>
      </c>
      <c r="R21" s="53">
        <v>0</v>
      </c>
      <c r="S21" s="54">
        <v>0</v>
      </c>
      <c r="T21" s="54">
        <v>150</v>
      </c>
      <c r="U21" s="54">
        <v>300</v>
      </c>
      <c r="V21" s="54">
        <v>146.25</v>
      </c>
      <c r="W21" s="54">
        <v>150</v>
      </c>
      <c r="X21" s="54">
        <v>225</v>
      </c>
      <c r="Y21" s="55">
        <v>600</v>
      </c>
      <c r="Z21" s="56">
        <v>225</v>
      </c>
      <c r="AA21" s="54">
        <f t="shared" si="1"/>
        <v>-375</v>
      </c>
      <c r="AB21" s="57">
        <v>0</v>
      </c>
      <c r="AC21" s="51">
        <v>3</v>
      </c>
      <c r="AD21" s="51">
        <v>7</v>
      </c>
      <c r="AE21" s="51">
        <v>5</v>
      </c>
      <c r="AF21" s="51">
        <v>5</v>
      </c>
      <c r="AG21" s="51">
        <v>5</v>
      </c>
      <c r="AH21" s="51">
        <v>6</v>
      </c>
      <c r="AI21" s="51">
        <v>4</v>
      </c>
      <c r="AJ21" s="51">
        <v>1</v>
      </c>
      <c r="AK21" s="58" t="s">
        <v>390</v>
      </c>
      <c r="AL21" s="59">
        <v>0</v>
      </c>
      <c r="AM21" s="59">
        <v>0.222222222222222</v>
      </c>
      <c r="AN21" s="59">
        <v>0.444444444444444</v>
      </c>
      <c r="AO21" s="59">
        <v>0.285714285714286</v>
      </c>
      <c r="AP21" s="59">
        <v>0.285714285714286</v>
      </c>
      <c r="AQ21" s="59">
        <v>0.25</v>
      </c>
      <c r="AR21" s="59">
        <v>0.6364</v>
      </c>
      <c r="AS21" s="59">
        <v>0.75</v>
      </c>
      <c r="AT21" s="60" t="s">
        <v>412</v>
      </c>
      <c r="AU21" s="61">
        <v>6</v>
      </c>
      <c r="AV21" s="61">
        <v>2</v>
      </c>
      <c r="AW21" s="61">
        <v>10</v>
      </c>
      <c r="AX21" s="61">
        <v>0</v>
      </c>
      <c r="AY21" s="61">
        <v>8</v>
      </c>
      <c r="AZ21" s="61">
        <v>2</v>
      </c>
      <c r="BA21" s="61">
        <v>9</v>
      </c>
      <c r="BB21" s="62">
        <v>1</v>
      </c>
      <c r="BC21" s="54" t="s">
        <v>412</v>
      </c>
      <c r="BD21" s="54" t="s">
        <v>120</v>
      </c>
      <c r="BE21" s="54" t="s">
        <v>391</v>
      </c>
      <c r="BF21" s="54" t="s">
        <v>391</v>
      </c>
      <c r="BG21" s="54" t="s">
        <v>391</v>
      </c>
      <c r="BH21" s="54" t="s">
        <v>391</v>
      </c>
      <c r="BI21" s="54" t="s">
        <v>391</v>
      </c>
      <c r="BJ21" s="54" t="s">
        <v>391</v>
      </c>
      <c r="BK21" s="54" t="s">
        <v>391</v>
      </c>
      <c r="BL21" s="53" t="s">
        <v>412</v>
      </c>
      <c r="BM21" s="54" t="s">
        <v>392</v>
      </c>
      <c r="BN21" s="54" t="s">
        <v>392</v>
      </c>
      <c r="BO21" s="54" t="s">
        <v>393</v>
      </c>
      <c r="BP21" s="54" t="s">
        <v>392</v>
      </c>
      <c r="BQ21" s="54" t="s">
        <v>393</v>
      </c>
      <c r="BR21" s="54" t="s">
        <v>392</v>
      </c>
      <c r="BS21" s="54" t="s">
        <v>393</v>
      </c>
      <c r="BT21" s="63" t="s">
        <v>392</v>
      </c>
      <c r="BU21" s="53" t="s">
        <v>412</v>
      </c>
      <c r="BV21" s="54" t="s">
        <v>393</v>
      </c>
      <c r="BW21" s="54" t="s">
        <v>392</v>
      </c>
      <c r="BX21" s="54" t="s">
        <v>392</v>
      </c>
      <c r="BY21" s="54" t="s">
        <v>392</v>
      </c>
      <c r="BZ21" s="54" t="s">
        <v>392</v>
      </c>
      <c r="CA21" s="54" t="s">
        <v>392</v>
      </c>
      <c r="CB21" s="54" t="s">
        <v>392</v>
      </c>
      <c r="CC21" s="54" t="s">
        <v>392</v>
      </c>
      <c r="CD21" s="57" t="s">
        <v>412</v>
      </c>
      <c r="CE21" s="51" t="s">
        <v>412</v>
      </c>
      <c r="CF21" s="51" t="s">
        <v>402</v>
      </c>
      <c r="CG21" s="51" t="s">
        <v>402</v>
      </c>
      <c r="CH21" s="51" t="s">
        <v>402</v>
      </c>
      <c r="CI21" s="51" t="s">
        <v>402</v>
      </c>
      <c r="CJ21" s="51" t="s">
        <v>402</v>
      </c>
      <c r="CK21" s="51" t="s">
        <v>402</v>
      </c>
      <c r="CL21" s="51" t="s">
        <v>402</v>
      </c>
      <c r="CM21" s="51" t="s">
        <v>392</v>
      </c>
      <c r="CN21" s="57" t="s">
        <v>412</v>
      </c>
      <c r="CO21" s="51" t="s">
        <v>412</v>
      </c>
      <c r="CP21" s="51" t="s">
        <v>404</v>
      </c>
      <c r="CQ21" s="51" t="s">
        <v>395</v>
      </c>
      <c r="CR21" s="51" t="s">
        <v>396</v>
      </c>
      <c r="CS21" s="51" t="s">
        <v>396</v>
      </c>
      <c r="CT21" s="51" t="s">
        <v>404</v>
      </c>
      <c r="CU21" s="51" t="s">
        <v>396</v>
      </c>
      <c r="CV21" s="51" t="s">
        <v>400</v>
      </c>
      <c r="CW21" s="57" t="s">
        <v>398</v>
      </c>
      <c r="CX21" s="51" t="s">
        <v>398</v>
      </c>
      <c r="CY21" s="51" t="s">
        <v>398</v>
      </c>
      <c r="CZ21" s="64" t="str">
        <f>IF(_xlfn.XLOOKUP(B21,[2]累计数据!$C$193:$C$245,[2]累计数据!$C$193:$C$245,"N")=B21,"Y","N")</f>
        <v>N</v>
      </c>
      <c r="DA21" s="58">
        <v>0.02</v>
      </c>
      <c r="DB21" s="59">
        <v>0.02</v>
      </c>
      <c r="DC21" s="59">
        <v>0.02</v>
      </c>
      <c r="DD21" s="65"/>
      <c r="DE21"/>
      <c r="DF21"/>
      <c r="DG21"/>
      <c r="DH21"/>
      <c r="DI21"/>
      <c r="DJ21" s="3"/>
    </row>
    <row r="22" customFormat="1" ht="22.5" customHeight="1" spans="1:114">
      <c r="A22" s="46">
        <v>12258</v>
      </c>
      <c r="B22" s="47" t="s">
        <v>419</v>
      </c>
      <c r="C22" s="48">
        <v>46092</v>
      </c>
      <c r="D22" s="49">
        <f>IF(_xlfn.XLOOKUP(A22,[1]分配表!J:J,[1]分配表!M:M)=0,"未出单",_xlfn.XLOOKUP(A22,[1]分配表!J:J,[1]分配表!M:M))</f>
        <v>46099</v>
      </c>
      <c r="E22" s="50" t="str">
        <f>_xlfn.XLOOKUP(A22,[1]分配表!A:A,[1]分配表!C:C)</f>
        <v>张潇</v>
      </c>
      <c r="F22" s="50" t="s">
        <v>33</v>
      </c>
      <c r="G22" s="50" t="s">
        <v>34</v>
      </c>
      <c r="H22" s="51">
        <v>0</v>
      </c>
      <c r="I22" s="51">
        <v>1</v>
      </c>
      <c r="J22" s="51">
        <v>7</v>
      </c>
      <c r="K22" s="51">
        <v>3</v>
      </c>
      <c r="L22" s="51">
        <v>8</v>
      </c>
      <c r="M22" s="51">
        <v>8</v>
      </c>
      <c r="N22" s="51">
        <v>7</v>
      </c>
      <c r="O22" s="51">
        <v>7</v>
      </c>
      <c r="P22" s="51">
        <v>13</v>
      </c>
      <c r="Q22" s="52">
        <f t="shared" si="0"/>
        <v>6</v>
      </c>
      <c r="R22" s="53">
        <v>0</v>
      </c>
      <c r="S22" s="54">
        <v>28</v>
      </c>
      <c r="T22" s="54">
        <v>196</v>
      </c>
      <c r="U22" s="54">
        <v>84</v>
      </c>
      <c r="V22" s="54">
        <v>224</v>
      </c>
      <c r="W22" s="54">
        <v>224</v>
      </c>
      <c r="X22" s="54">
        <v>196</v>
      </c>
      <c r="Y22" s="55">
        <v>196</v>
      </c>
      <c r="Z22" s="56">
        <v>364</v>
      </c>
      <c r="AA22" s="54">
        <f t="shared" si="1"/>
        <v>168</v>
      </c>
      <c r="AB22" s="57">
        <v>0</v>
      </c>
      <c r="AC22" s="51">
        <v>14</v>
      </c>
      <c r="AD22" s="51">
        <v>12</v>
      </c>
      <c r="AE22" s="51">
        <v>12</v>
      </c>
      <c r="AF22" s="51">
        <v>13</v>
      </c>
      <c r="AG22" s="51">
        <v>17</v>
      </c>
      <c r="AH22" s="51">
        <v>16</v>
      </c>
      <c r="AI22" s="51">
        <v>19</v>
      </c>
      <c r="AJ22" s="51">
        <v>17</v>
      </c>
      <c r="AK22" s="58" t="s">
        <v>390</v>
      </c>
      <c r="AL22" s="59">
        <v>0</v>
      </c>
      <c r="AM22" s="59">
        <v>0.368421052631579</v>
      </c>
      <c r="AN22" s="59">
        <v>0.2</v>
      </c>
      <c r="AO22" s="59">
        <v>0.380952380952381</v>
      </c>
      <c r="AP22" s="59">
        <v>0.32</v>
      </c>
      <c r="AQ22" s="59">
        <v>0.2727</v>
      </c>
      <c r="AR22" s="59">
        <v>0.24</v>
      </c>
      <c r="AS22" s="59">
        <v>0.3462</v>
      </c>
      <c r="AT22" s="60" t="s">
        <v>412</v>
      </c>
      <c r="AU22" s="61">
        <v>6</v>
      </c>
      <c r="AV22" s="61">
        <v>2</v>
      </c>
      <c r="AW22" s="61">
        <v>10</v>
      </c>
      <c r="AX22" s="61">
        <v>0</v>
      </c>
      <c r="AY22" s="61">
        <v>8</v>
      </c>
      <c r="AZ22" s="61">
        <v>2</v>
      </c>
      <c r="BA22" s="61">
        <v>9</v>
      </c>
      <c r="BB22" s="62">
        <v>0</v>
      </c>
      <c r="BC22" s="54" t="s">
        <v>412</v>
      </c>
      <c r="BD22" s="54" t="s">
        <v>391</v>
      </c>
      <c r="BE22" s="54" t="s">
        <v>391</v>
      </c>
      <c r="BF22" s="54" t="s">
        <v>391</v>
      </c>
      <c r="BG22" s="54" t="s">
        <v>391</v>
      </c>
      <c r="BH22" s="54" t="s">
        <v>391</v>
      </c>
      <c r="BI22" s="54" t="s">
        <v>391</v>
      </c>
      <c r="BJ22" s="54" t="s">
        <v>391</v>
      </c>
      <c r="BK22" s="54" t="s">
        <v>391</v>
      </c>
      <c r="BL22" s="53" t="s">
        <v>412</v>
      </c>
      <c r="BM22" s="54" t="s">
        <v>392</v>
      </c>
      <c r="BN22" s="54" t="s">
        <v>392</v>
      </c>
      <c r="BO22" s="54" t="s">
        <v>393</v>
      </c>
      <c r="BP22" s="54" t="s">
        <v>392</v>
      </c>
      <c r="BQ22" s="54" t="s">
        <v>393</v>
      </c>
      <c r="BR22" s="54" t="s">
        <v>392</v>
      </c>
      <c r="BS22" s="54" t="s">
        <v>393</v>
      </c>
      <c r="BT22" s="63" t="s">
        <v>392</v>
      </c>
      <c r="BU22" s="53" t="s">
        <v>412</v>
      </c>
      <c r="BV22" s="54" t="s">
        <v>393</v>
      </c>
      <c r="BW22" s="54" t="s">
        <v>392</v>
      </c>
      <c r="BX22" s="54" t="s">
        <v>392</v>
      </c>
      <c r="BY22" s="54" t="s">
        <v>392</v>
      </c>
      <c r="BZ22" s="54" t="s">
        <v>392</v>
      </c>
      <c r="CA22" s="54" t="s">
        <v>392</v>
      </c>
      <c r="CB22" s="54" t="s">
        <v>392</v>
      </c>
      <c r="CC22" s="54" t="s">
        <v>392</v>
      </c>
      <c r="CD22" s="57" t="s">
        <v>412</v>
      </c>
      <c r="CE22" s="51" t="s">
        <v>412</v>
      </c>
      <c r="CF22" s="51" t="s">
        <v>402</v>
      </c>
      <c r="CG22" s="51" t="s">
        <v>402</v>
      </c>
      <c r="CH22" s="51" t="s">
        <v>402</v>
      </c>
      <c r="CI22" s="51" t="s">
        <v>402</v>
      </c>
      <c r="CJ22" s="51" t="s">
        <v>402</v>
      </c>
      <c r="CK22" s="51" t="s">
        <v>402</v>
      </c>
      <c r="CL22" s="51" t="s">
        <v>402</v>
      </c>
      <c r="CM22" s="51" t="s">
        <v>402</v>
      </c>
      <c r="CN22" s="57" t="s">
        <v>412</v>
      </c>
      <c r="CO22" s="51" t="s">
        <v>412</v>
      </c>
      <c r="CP22" s="51" t="s">
        <v>400</v>
      </c>
      <c r="CQ22" s="51" t="s">
        <v>400</v>
      </c>
      <c r="CR22" s="51" t="s">
        <v>396</v>
      </c>
      <c r="CS22" s="51" t="s">
        <v>396</v>
      </c>
      <c r="CT22" s="51" t="s">
        <v>400</v>
      </c>
      <c r="CU22" s="51" t="s">
        <v>396</v>
      </c>
      <c r="CV22" s="51" t="s">
        <v>404</v>
      </c>
      <c r="CW22" s="57" t="s">
        <v>398</v>
      </c>
      <c r="CX22" s="51" t="s">
        <v>398</v>
      </c>
      <c r="CY22" s="51" t="s">
        <v>398</v>
      </c>
      <c r="CZ22" s="64" t="str">
        <f>IF(_xlfn.XLOOKUP(B22,[2]累计数据!$C$193:$C$245,[2]累计数据!$C$193:$C$245,"N")=B22,"Y","N")</f>
        <v>N</v>
      </c>
      <c r="DA22" s="58">
        <v>0.02</v>
      </c>
      <c r="DB22" s="59">
        <v>0.02</v>
      </c>
      <c r="DC22" s="59">
        <v>0.02</v>
      </c>
      <c r="DD22" s="65"/>
      <c r="DE22"/>
      <c r="DF22"/>
      <c r="DG22"/>
      <c r="DH22"/>
      <c r="DI22"/>
      <c r="DJ22" s="3"/>
    </row>
    <row r="23" customFormat="1" ht="22.5" customHeight="1" spans="1:114">
      <c r="A23" s="46">
        <v>12210</v>
      </c>
      <c r="B23" s="47" t="s">
        <v>84</v>
      </c>
      <c r="C23" s="48">
        <v>46092</v>
      </c>
      <c r="D23" s="49">
        <f>IF(_xlfn.XLOOKUP(A23,[1]分配表!J:J,[1]分配表!M:M)=0,"未出单",_xlfn.XLOOKUP(A23,[1]分配表!J:J,[1]分配表!M:M))</f>
        <v>46104</v>
      </c>
      <c r="E23" s="50" t="str">
        <f>_xlfn.XLOOKUP(A23,[1]分配表!A:A,[1]分配表!C:C)</f>
        <v>张潇</v>
      </c>
      <c r="F23" s="50" t="s">
        <v>39</v>
      </c>
      <c r="G23" s="50" t="s">
        <v>34</v>
      </c>
      <c r="H23" s="51">
        <v>0</v>
      </c>
      <c r="I23" s="51">
        <v>0</v>
      </c>
      <c r="J23" s="51">
        <v>1</v>
      </c>
      <c r="K23" s="51">
        <v>3</v>
      </c>
      <c r="L23" s="51">
        <v>17</v>
      </c>
      <c r="M23" s="51">
        <v>5</v>
      </c>
      <c r="N23" s="51">
        <v>4</v>
      </c>
      <c r="O23" s="51">
        <v>2</v>
      </c>
      <c r="P23" s="51">
        <v>6</v>
      </c>
      <c r="Q23" s="52">
        <f t="shared" si="0"/>
        <v>4</v>
      </c>
      <c r="R23" s="53">
        <v>0</v>
      </c>
      <c r="S23" s="54">
        <v>0</v>
      </c>
      <c r="T23" s="54">
        <v>12</v>
      </c>
      <c r="U23" s="54">
        <v>36</v>
      </c>
      <c r="V23" s="54">
        <v>204</v>
      </c>
      <c r="W23" s="54">
        <v>60</v>
      </c>
      <c r="X23" s="54">
        <v>47.59</v>
      </c>
      <c r="Y23" s="55">
        <v>23.08</v>
      </c>
      <c r="Z23" s="56">
        <v>69.04</v>
      </c>
      <c r="AA23" s="54">
        <f t="shared" si="1"/>
        <v>45.96</v>
      </c>
      <c r="AB23" s="57">
        <v>0</v>
      </c>
      <c r="AC23" s="51">
        <v>39</v>
      </c>
      <c r="AD23" s="51">
        <v>28</v>
      </c>
      <c r="AE23" s="51">
        <v>40</v>
      </c>
      <c r="AF23" s="51">
        <v>23</v>
      </c>
      <c r="AG23" s="51">
        <v>24</v>
      </c>
      <c r="AH23" s="51">
        <v>25</v>
      </c>
      <c r="AI23" s="51">
        <v>26</v>
      </c>
      <c r="AJ23" s="51">
        <v>20</v>
      </c>
      <c r="AK23" s="58" t="s">
        <v>390</v>
      </c>
      <c r="AL23" s="59">
        <v>0</v>
      </c>
      <c r="AM23" s="59">
        <v>0.0344827586206897</v>
      </c>
      <c r="AN23" s="59">
        <v>0.0697674418604651</v>
      </c>
      <c r="AO23" s="59">
        <v>0.425</v>
      </c>
      <c r="AP23" s="59">
        <v>0.172413793103448</v>
      </c>
      <c r="AQ23" s="59">
        <v>0.1667</v>
      </c>
      <c r="AR23" s="59">
        <v>0.0714</v>
      </c>
      <c r="AS23" s="59">
        <v>0.1667</v>
      </c>
      <c r="AT23" s="60" t="s">
        <v>412</v>
      </c>
      <c r="AU23" s="61">
        <v>6</v>
      </c>
      <c r="AV23" s="61">
        <v>2</v>
      </c>
      <c r="AW23" s="61">
        <v>10</v>
      </c>
      <c r="AX23" s="61">
        <v>0</v>
      </c>
      <c r="AY23" s="61">
        <v>3</v>
      </c>
      <c r="AZ23" s="61">
        <v>5</v>
      </c>
      <c r="BA23" s="61">
        <v>12</v>
      </c>
      <c r="BB23" s="62">
        <v>0</v>
      </c>
      <c r="BC23" s="54" t="s">
        <v>412</v>
      </c>
      <c r="BD23" s="54" t="s">
        <v>120</v>
      </c>
      <c r="BE23" s="54" t="s">
        <v>398</v>
      </c>
      <c r="BF23" s="54" t="s">
        <v>398</v>
      </c>
      <c r="BG23" s="54" t="s">
        <v>398</v>
      </c>
      <c r="BH23" s="54" t="s">
        <v>398</v>
      </c>
      <c r="BI23" s="54" t="s">
        <v>398</v>
      </c>
      <c r="BJ23" s="54" t="s">
        <v>398</v>
      </c>
      <c r="BK23" s="54" t="s">
        <v>398</v>
      </c>
      <c r="BL23" s="53" t="s">
        <v>412</v>
      </c>
      <c r="BM23" s="54" t="s">
        <v>392</v>
      </c>
      <c r="BN23" s="54" t="s">
        <v>392</v>
      </c>
      <c r="BO23" s="54" t="s">
        <v>393</v>
      </c>
      <c r="BP23" s="54" t="s">
        <v>392</v>
      </c>
      <c r="BQ23" s="54" t="s">
        <v>392</v>
      </c>
      <c r="BR23" s="54" t="s">
        <v>392</v>
      </c>
      <c r="BS23" s="54" t="s">
        <v>393</v>
      </c>
      <c r="BT23" s="63" t="s">
        <v>392</v>
      </c>
      <c r="BU23" s="53" t="s">
        <v>412</v>
      </c>
      <c r="BV23" s="54" t="s">
        <v>393</v>
      </c>
      <c r="BW23" s="54" t="s">
        <v>392</v>
      </c>
      <c r="BX23" s="54" t="s">
        <v>392</v>
      </c>
      <c r="BY23" s="54" t="s">
        <v>392</v>
      </c>
      <c r="BZ23" s="54" t="s">
        <v>392</v>
      </c>
      <c r="CA23" s="54" t="s">
        <v>392</v>
      </c>
      <c r="CB23" s="54" t="s">
        <v>392</v>
      </c>
      <c r="CC23" s="54" t="s">
        <v>392</v>
      </c>
      <c r="CD23" s="57" t="s">
        <v>412</v>
      </c>
      <c r="CE23" s="51" t="s">
        <v>412</v>
      </c>
      <c r="CF23" s="51" t="s">
        <v>402</v>
      </c>
      <c r="CG23" s="51" t="s">
        <v>402</v>
      </c>
      <c r="CH23" s="51" t="s">
        <v>402</v>
      </c>
      <c r="CI23" s="51" t="s">
        <v>402</v>
      </c>
      <c r="CJ23" s="51" t="s">
        <v>402</v>
      </c>
      <c r="CK23" s="51" t="s">
        <v>402</v>
      </c>
      <c r="CL23" s="51" t="s">
        <v>402</v>
      </c>
      <c r="CM23" s="51" t="s">
        <v>402</v>
      </c>
      <c r="CN23" s="57" t="s">
        <v>412</v>
      </c>
      <c r="CO23" s="51" t="s">
        <v>412</v>
      </c>
      <c r="CP23" s="51" t="s">
        <v>395</v>
      </c>
      <c r="CQ23" s="51" t="s">
        <v>400</v>
      </c>
      <c r="CR23" s="51" t="s">
        <v>396</v>
      </c>
      <c r="CS23" s="51" t="s">
        <v>396</v>
      </c>
      <c r="CT23" s="51" t="s">
        <v>396</v>
      </c>
      <c r="CU23" s="51" t="s">
        <v>396</v>
      </c>
      <c r="CV23" s="51" t="s">
        <v>404</v>
      </c>
      <c r="CW23" s="57" t="s">
        <v>391</v>
      </c>
      <c r="CX23" s="51" t="s">
        <v>391</v>
      </c>
      <c r="CY23" s="51" t="s">
        <v>391</v>
      </c>
      <c r="CZ23" s="64" t="str">
        <f>IF(_xlfn.XLOOKUP(B23,[2]累计数据!$C$193:$C$245,[2]累计数据!$C$193:$C$245,"N")=B23,"Y","N")</f>
        <v>N</v>
      </c>
      <c r="DA23" s="58">
        <v>0.02</v>
      </c>
      <c r="DB23" s="59">
        <v>0</v>
      </c>
      <c r="DC23" s="59">
        <v>0</v>
      </c>
      <c r="DD23" s="65"/>
      <c r="DE23"/>
      <c r="DF23"/>
      <c r="DG23"/>
      <c r="DH23"/>
      <c r="DI23"/>
      <c r="DJ23" s="3"/>
    </row>
    <row r="24" customFormat="1" ht="22.5" customHeight="1" spans="1:114">
      <c r="A24" s="46">
        <v>12250</v>
      </c>
      <c r="B24" s="47" t="s">
        <v>142</v>
      </c>
      <c r="C24" s="48">
        <v>46092</v>
      </c>
      <c r="D24" s="49">
        <f>IF(_xlfn.XLOOKUP(A24,[1]分配表!J:J,[1]分配表!M:M)=0,"未出单",_xlfn.XLOOKUP(A24,[1]分配表!J:J,[1]分配表!M:M))</f>
        <v>46096</v>
      </c>
      <c r="E24" s="50" t="str">
        <f>_xlfn.XLOOKUP(A24,[1]分配表!A:A,[1]分配表!C:C)</f>
        <v>王偲涵</v>
      </c>
      <c r="F24" s="50" t="s">
        <v>39</v>
      </c>
      <c r="G24" s="50" t="s">
        <v>45</v>
      </c>
      <c r="H24" s="51">
        <v>0</v>
      </c>
      <c r="I24" s="51">
        <v>1</v>
      </c>
      <c r="J24" s="51">
        <v>0</v>
      </c>
      <c r="K24" s="51">
        <v>1</v>
      </c>
      <c r="L24" s="51">
        <v>1</v>
      </c>
      <c r="M24" s="51">
        <v>0</v>
      </c>
      <c r="N24" s="51">
        <v>0</v>
      </c>
      <c r="O24" s="51">
        <v>0</v>
      </c>
      <c r="P24" s="51">
        <v>2</v>
      </c>
      <c r="Q24" s="52">
        <f t="shared" si="0"/>
        <v>2</v>
      </c>
      <c r="R24" s="53">
        <v>0</v>
      </c>
      <c r="S24" s="54">
        <v>39</v>
      </c>
      <c r="T24" s="54">
        <v>0</v>
      </c>
      <c r="U24" s="54">
        <v>39</v>
      </c>
      <c r="V24" s="54">
        <v>39</v>
      </c>
      <c r="W24" s="54">
        <v>0</v>
      </c>
      <c r="X24" s="54">
        <v>0</v>
      </c>
      <c r="Y24" s="55">
        <v>0</v>
      </c>
      <c r="Z24" s="56">
        <v>78</v>
      </c>
      <c r="AA24" s="54">
        <f t="shared" si="1"/>
        <v>78</v>
      </c>
      <c r="AB24" s="57">
        <v>0</v>
      </c>
      <c r="AC24" s="51">
        <v>1</v>
      </c>
      <c r="AD24" s="51">
        <v>2</v>
      </c>
      <c r="AE24" s="51">
        <v>0</v>
      </c>
      <c r="AF24" s="51">
        <v>1</v>
      </c>
      <c r="AG24" s="51">
        <v>0</v>
      </c>
      <c r="AH24" s="51">
        <v>0</v>
      </c>
      <c r="AI24" s="51">
        <v>0</v>
      </c>
      <c r="AJ24" s="51">
        <v>2</v>
      </c>
      <c r="AK24" s="58" t="s">
        <v>390</v>
      </c>
      <c r="AL24" s="59">
        <v>0.5</v>
      </c>
      <c r="AM24" s="59">
        <v>0</v>
      </c>
      <c r="AN24" s="59">
        <v>1</v>
      </c>
      <c r="AO24" s="59">
        <v>0.5</v>
      </c>
      <c r="AP24" s="59">
        <v>0</v>
      </c>
      <c r="AQ24" s="59" t="s">
        <v>390</v>
      </c>
      <c r="AR24" s="59" t="s">
        <v>390</v>
      </c>
      <c r="AS24" s="59">
        <v>0.5</v>
      </c>
      <c r="AT24" s="60" t="s">
        <v>412</v>
      </c>
      <c r="AU24" s="61">
        <v>7</v>
      </c>
      <c r="AV24" s="61">
        <v>14</v>
      </c>
      <c r="AW24" s="61">
        <v>22</v>
      </c>
      <c r="AX24" s="61">
        <v>28</v>
      </c>
      <c r="AY24" s="61">
        <v>7</v>
      </c>
      <c r="AZ24" s="61">
        <v>5</v>
      </c>
      <c r="BA24" s="61">
        <v>0</v>
      </c>
      <c r="BB24" s="62">
        <v>0</v>
      </c>
      <c r="BC24" s="54" t="s">
        <v>412</v>
      </c>
      <c r="BD24" s="54" t="s">
        <v>391</v>
      </c>
      <c r="BE24" s="54" t="s">
        <v>391</v>
      </c>
      <c r="BF24" s="54" t="s">
        <v>391</v>
      </c>
      <c r="BG24" s="54" t="s">
        <v>391</v>
      </c>
      <c r="BH24" s="54" t="s">
        <v>391</v>
      </c>
      <c r="BI24" s="54" t="s">
        <v>391</v>
      </c>
      <c r="BJ24" s="54" t="s">
        <v>391</v>
      </c>
      <c r="BK24" s="54" t="s">
        <v>391</v>
      </c>
      <c r="BL24" s="53" t="s">
        <v>412</v>
      </c>
      <c r="BM24" s="54" t="s">
        <v>392</v>
      </c>
      <c r="BN24" s="54" t="s">
        <v>393</v>
      </c>
      <c r="BO24" s="54" t="s">
        <v>393</v>
      </c>
      <c r="BP24" s="54" t="s">
        <v>393</v>
      </c>
      <c r="BQ24" s="54" t="s">
        <v>392</v>
      </c>
      <c r="BR24" s="54" t="s">
        <v>392</v>
      </c>
      <c r="BS24" s="54" t="s">
        <v>392</v>
      </c>
      <c r="BT24" s="63" t="s">
        <v>392</v>
      </c>
      <c r="BU24" s="53" t="s">
        <v>412</v>
      </c>
      <c r="BV24" s="54" t="s">
        <v>393</v>
      </c>
      <c r="BW24" s="54" t="s">
        <v>392</v>
      </c>
      <c r="BX24" s="54" t="s">
        <v>392</v>
      </c>
      <c r="BY24" s="54" t="s">
        <v>392</v>
      </c>
      <c r="BZ24" s="54" t="s">
        <v>392</v>
      </c>
      <c r="CA24" s="54" t="s">
        <v>392</v>
      </c>
      <c r="CB24" s="54" t="s">
        <v>392</v>
      </c>
      <c r="CC24" s="54" t="s">
        <v>392</v>
      </c>
      <c r="CD24" s="57" t="s">
        <v>412</v>
      </c>
      <c r="CE24" s="51" t="s">
        <v>412</v>
      </c>
      <c r="CF24" s="51" t="s">
        <v>402</v>
      </c>
      <c r="CG24" s="51" t="s">
        <v>402</v>
      </c>
      <c r="CH24" s="51" t="s">
        <v>394</v>
      </c>
      <c r="CI24" s="51" t="s">
        <v>402</v>
      </c>
      <c r="CJ24" s="51" t="s">
        <v>394</v>
      </c>
      <c r="CK24" s="51" t="s">
        <v>394</v>
      </c>
      <c r="CL24" s="51" t="s">
        <v>406</v>
      </c>
      <c r="CM24" s="51" t="s">
        <v>402</v>
      </c>
      <c r="CN24" s="57" t="s">
        <v>412</v>
      </c>
      <c r="CO24" s="51" t="s">
        <v>412</v>
      </c>
      <c r="CP24" s="51" t="s">
        <v>397</v>
      </c>
      <c r="CQ24" s="51" t="s">
        <v>395</v>
      </c>
      <c r="CR24" s="51" t="s">
        <v>395</v>
      </c>
      <c r="CS24" s="51" t="s">
        <v>395</v>
      </c>
      <c r="CT24" s="51" t="s">
        <v>396</v>
      </c>
      <c r="CU24" s="51" t="s">
        <v>396</v>
      </c>
      <c r="CV24" s="51" t="s">
        <v>396</v>
      </c>
      <c r="CW24" s="57" t="s">
        <v>391</v>
      </c>
      <c r="CX24" s="51" t="s">
        <v>391</v>
      </c>
      <c r="CY24" s="51" t="s">
        <v>391</v>
      </c>
      <c r="CZ24" s="64" t="str">
        <f>IF(_xlfn.XLOOKUP(B24,[2]累计数据!$C$193:$C$245,[2]累计数据!$C$193:$C$245,"N")=B24,"Y","N")</f>
        <v>Y</v>
      </c>
      <c r="DA24" s="58">
        <v>0.02</v>
      </c>
      <c r="DB24" s="59">
        <v>0</v>
      </c>
      <c r="DC24" s="59">
        <v>0</v>
      </c>
      <c r="DD24" s="65"/>
      <c r="DE24"/>
      <c r="DF24"/>
      <c r="DG24"/>
      <c r="DH24"/>
      <c r="DI24"/>
      <c r="DJ24" s="3"/>
    </row>
    <row r="25" customFormat="1" ht="22.5" customHeight="1" spans="1:114">
      <c r="A25" s="46">
        <v>12251</v>
      </c>
      <c r="B25" s="47" t="s">
        <v>66</v>
      </c>
      <c r="C25" s="48">
        <v>46092</v>
      </c>
      <c r="D25" s="49">
        <f>IF(_xlfn.XLOOKUP(A25,[1]分配表!J:J,[1]分配表!M:M)=0,"未出单",_xlfn.XLOOKUP(A25,[1]分配表!J:J,[1]分配表!M:M))</f>
        <v>46112</v>
      </c>
      <c r="E25" s="50" t="str">
        <f>_xlfn.XLOOKUP(A25,[1]分配表!A:A,[1]分配表!C:C)</f>
        <v>王偲涵</v>
      </c>
      <c r="F25" s="50" t="s">
        <v>39</v>
      </c>
      <c r="G25" s="50" t="s">
        <v>45</v>
      </c>
      <c r="H25" s="51">
        <v>0</v>
      </c>
      <c r="I25" s="51">
        <v>0</v>
      </c>
      <c r="J25" s="51">
        <v>0</v>
      </c>
      <c r="K25" s="51">
        <v>1</v>
      </c>
      <c r="L25" s="51">
        <v>0</v>
      </c>
      <c r="M25" s="51">
        <v>2</v>
      </c>
      <c r="N25" s="51">
        <v>0</v>
      </c>
      <c r="O25" s="51">
        <v>0</v>
      </c>
      <c r="P25" s="51">
        <v>0</v>
      </c>
      <c r="Q25" s="52">
        <f t="shared" si="0"/>
        <v>0</v>
      </c>
      <c r="R25" s="53">
        <v>0</v>
      </c>
      <c r="S25" s="54">
        <v>0</v>
      </c>
      <c r="T25" s="54">
        <v>0</v>
      </c>
      <c r="U25" s="54">
        <v>39</v>
      </c>
      <c r="V25" s="54">
        <v>0</v>
      </c>
      <c r="W25" s="54">
        <v>78</v>
      </c>
      <c r="X25" s="54">
        <v>0</v>
      </c>
      <c r="Y25" s="55">
        <v>0</v>
      </c>
      <c r="Z25" s="56">
        <v>0</v>
      </c>
      <c r="AA25" s="54">
        <f t="shared" si="1"/>
        <v>0</v>
      </c>
      <c r="AB25" s="57">
        <v>0</v>
      </c>
      <c r="AC25" s="51">
        <v>1</v>
      </c>
      <c r="AD25" s="51">
        <v>1</v>
      </c>
      <c r="AE25" s="51">
        <v>2</v>
      </c>
      <c r="AF25" s="51">
        <v>0</v>
      </c>
      <c r="AG25" s="51">
        <v>1</v>
      </c>
      <c r="AH25" s="51">
        <v>0</v>
      </c>
      <c r="AI25" s="51">
        <v>0</v>
      </c>
      <c r="AJ25" s="51">
        <v>0</v>
      </c>
      <c r="AK25" s="58" t="s">
        <v>390</v>
      </c>
      <c r="AL25" s="59">
        <v>0</v>
      </c>
      <c r="AM25" s="59">
        <v>0</v>
      </c>
      <c r="AN25" s="59">
        <v>0.333333333333333</v>
      </c>
      <c r="AO25" s="59">
        <v>0</v>
      </c>
      <c r="AP25" s="59">
        <v>0.666666666666667</v>
      </c>
      <c r="AQ25" s="59">
        <v>1</v>
      </c>
      <c r="AR25" s="59" t="s">
        <v>390</v>
      </c>
      <c r="AS25" s="59" t="s">
        <v>390</v>
      </c>
      <c r="AT25" s="60" t="s">
        <v>412</v>
      </c>
      <c r="AU25" s="61">
        <v>7</v>
      </c>
      <c r="AV25" s="61">
        <v>14</v>
      </c>
      <c r="AW25" s="61">
        <v>22</v>
      </c>
      <c r="AX25" s="61">
        <v>28</v>
      </c>
      <c r="AY25" s="61">
        <v>7</v>
      </c>
      <c r="AZ25" s="61">
        <v>5</v>
      </c>
      <c r="BA25" s="61">
        <v>4</v>
      </c>
      <c r="BB25" s="62">
        <v>0</v>
      </c>
      <c r="BC25" s="54" t="s">
        <v>412</v>
      </c>
      <c r="BD25" s="54" t="s">
        <v>120</v>
      </c>
      <c r="BE25" s="54" t="s">
        <v>120</v>
      </c>
      <c r="BF25" s="54" t="s">
        <v>398</v>
      </c>
      <c r="BG25" s="54" t="s">
        <v>398</v>
      </c>
      <c r="BH25" s="54" t="s">
        <v>398</v>
      </c>
      <c r="BI25" s="54" t="s">
        <v>398</v>
      </c>
      <c r="BJ25" s="54" t="s">
        <v>398</v>
      </c>
      <c r="BK25" s="54" t="s">
        <v>398</v>
      </c>
      <c r="BL25" s="53" t="s">
        <v>412</v>
      </c>
      <c r="BM25" s="54" t="s">
        <v>392</v>
      </c>
      <c r="BN25" s="54" t="s">
        <v>393</v>
      </c>
      <c r="BO25" s="54" t="s">
        <v>393</v>
      </c>
      <c r="BP25" s="54" t="s">
        <v>393</v>
      </c>
      <c r="BQ25" s="54" t="s">
        <v>392</v>
      </c>
      <c r="BR25" s="54" t="s">
        <v>392</v>
      </c>
      <c r="BS25" s="54" t="s">
        <v>392</v>
      </c>
      <c r="BT25" s="63" t="s">
        <v>392</v>
      </c>
      <c r="BU25" s="53" t="s">
        <v>412</v>
      </c>
      <c r="BV25" s="54" t="s">
        <v>393</v>
      </c>
      <c r="BW25" s="54" t="s">
        <v>392</v>
      </c>
      <c r="BX25" s="54" t="s">
        <v>392</v>
      </c>
      <c r="BY25" s="54" t="s">
        <v>392</v>
      </c>
      <c r="BZ25" s="54" t="s">
        <v>392</v>
      </c>
      <c r="CA25" s="54" t="s">
        <v>392</v>
      </c>
      <c r="CB25" s="54" t="s">
        <v>392</v>
      </c>
      <c r="CC25" s="54" t="s">
        <v>392</v>
      </c>
      <c r="CD25" s="57" t="s">
        <v>412</v>
      </c>
      <c r="CE25" s="51" t="s">
        <v>412</v>
      </c>
      <c r="CF25" s="51" t="s">
        <v>402</v>
      </c>
      <c r="CG25" s="51" t="s">
        <v>402</v>
      </c>
      <c r="CH25" s="51" t="s">
        <v>402</v>
      </c>
      <c r="CI25" s="51" t="s">
        <v>394</v>
      </c>
      <c r="CJ25" s="51" t="s">
        <v>394</v>
      </c>
      <c r="CK25" s="51" t="s">
        <v>392</v>
      </c>
      <c r="CL25" s="51" t="s">
        <v>406</v>
      </c>
      <c r="CM25" s="51" t="s">
        <v>394</v>
      </c>
      <c r="CN25" s="57" t="s">
        <v>412</v>
      </c>
      <c r="CO25" s="51" t="s">
        <v>412</v>
      </c>
      <c r="CP25" s="51" t="s">
        <v>397</v>
      </c>
      <c r="CQ25" s="51" t="s">
        <v>395</v>
      </c>
      <c r="CR25" s="51" t="s">
        <v>395</v>
      </c>
      <c r="CS25" s="51" t="s">
        <v>395</v>
      </c>
      <c r="CT25" s="51" t="s">
        <v>396</v>
      </c>
      <c r="CU25" s="51" t="s">
        <v>396</v>
      </c>
      <c r="CV25" s="51" t="s">
        <v>396</v>
      </c>
      <c r="CW25" s="57" t="s">
        <v>391</v>
      </c>
      <c r="CX25" s="51" t="s">
        <v>391</v>
      </c>
      <c r="CY25" s="51" t="s">
        <v>391</v>
      </c>
      <c r="CZ25" s="64" t="str">
        <f>IF(_xlfn.XLOOKUP(B25,[2]累计数据!$C$193:$C$245,[2]累计数据!$C$193:$C$245,"N")=B25,"Y","N")</f>
        <v>Y</v>
      </c>
      <c r="DA25" s="58">
        <v>0.02</v>
      </c>
      <c r="DB25" s="59">
        <v>0.02</v>
      </c>
      <c r="DC25" s="59">
        <v>0.02</v>
      </c>
      <c r="DD25" s="65"/>
      <c r="DE25"/>
      <c r="DF25"/>
      <c r="DG25"/>
      <c r="DH25"/>
      <c r="DI25"/>
      <c r="DJ25" s="3"/>
    </row>
    <row r="26" customFormat="1" ht="22.5" customHeight="1" spans="1:114">
      <c r="A26" s="46">
        <v>12332</v>
      </c>
      <c r="B26" s="47" t="s">
        <v>70</v>
      </c>
      <c r="C26" s="48">
        <v>46092</v>
      </c>
      <c r="D26" s="49">
        <f>IF(_xlfn.XLOOKUP(A26,[1]分配表!J:J,[1]分配表!M:M)=0,"未出单",_xlfn.XLOOKUP(A26,[1]分配表!J:J,[1]分配表!M:M))</f>
        <v>46095</v>
      </c>
      <c r="E26" s="50" t="str">
        <f>_xlfn.XLOOKUP(A26,[1]分配表!A:A,[1]分配表!C:C)</f>
        <v>张潇</v>
      </c>
      <c r="F26" s="50" t="s">
        <v>39</v>
      </c>
      <c r="G26" s="50" t="s">
        <v>34</v>
      </c>
      <c r="H26" s="51">
        <v>0</v>
      </c>
      <c r="I26" s="51">
        <v>3</v>
      </c>
      <c r="J26" s="51">
        <v>6</v>
      </c>
      <c r="K26" s="51">
        <v>5</v>
      </c>
      <c r="L26" s="51">
        <v>5</v>
      </c>
      <c r="M26" s="51">
        <v>5</v>
      </c>
      <c r="N26" s="51">
        <v>5</v>
      </c>
      <c r="O26" s="51">
        <v>3</v>
      </c>
      <c r="P26" s="51">
        <v>2</v>
      </c>
      <c r="Q26" s="52">
        <f t="shared" si="0"/>
        <v>-1</v>
      </c>
      <c r="R26" s="53">
        <v>0</v>
      </c>
      <c r="S26" s="54">
        <v>327</v>
      </c>
      <c r="T26" s="54">
        <v>654</v>
      </c>
      <c r="U26" s="54">
        <v>545</v>
      </c>
      <c r="V26" s="54">
        <v>570</v>
      </c>
      <c r="W26" s="54">
        <v>570</v>
      </c>
      <c r="X26" s="54">
        <v>570</v>
      </c>
      <c r="Y26" s="55">
        <v>342</v>
      </c>
      <c r="Z26" s="56">
        <v>228</v>
      </c>
      <c r="AA26" s="54">
        <f t="shared" si="1"/>
        <v>-114</v>
      </c>
      <c r="AB26" s="57">
        <v>0</v>
      </c>
      <c r="AC26" s="51">
        <v>2</v>
      </c>
      <c r="AD26" s="51">
        <v>1</v>
      </c>
      <c r="AE26" s="51">
        <v>0</v>
      </c>
      <c r="AF26" s="51">
        <v>0</v>
      </c>
      <c r="AG26" s="51">
        <v>1</v>
      </c>
      <c r="AH26" s="51">
        <v>2</v>
      </c>
      <c r="AI26" s="51">
        <v>1</v>
      </c>
      <c r="AJ26" s="51">
        <v>3</v>
      </c>
      <c r="AK26" s="58" t="s">
        <v>390</v>
      </c>
      <c r="AL26" s="59">
        <v>0.3333</v>
      </c>
      <c r="AM26" s="59">
        <v>0.857142857142857</v>
      </c>
      <c r="AN26" s="59">
        <v>1</v>
      </c>
      <c r="AO26" s="59">
        <v>1</v>
      </c>
      <c r="AP26" s="59">
        <v>0.833333333333333</v>
      </c>
      <c r="AQ26" s="59">
        <v>0.7143</v>
      </c>
      <c r="AR26" s="59">
        <v>0.8</v>
      </c>
      <c r="AS26" s="59">
        <v>0.5</v>
      </c>
      <c r="AT26" s="60" t="s">
        <v>412</v>
      </c>
      <c r="AU26" s="61">
        <v>7</v>
      </c>
      <c r="AV26" s="61">
        <v>14</v>
      </c>
      <c r="AW26" s="61">
        <v>22</v>
      </c>
      <c r="AX26" s="61">
        <v>0</v>
      </c>
      <c r="AY26" s="61">
        <v>8</v>
      </c>
      <c r="AZ26" s="61">
        <v>14</v>
      </c>
      <c r="BA26" s="61">
        <v>2</v>
      </c>
      <c r="BB26" s="62">
        <v>9</v>
      </c>
      <c r="BC26" s="54" t="s">
        <v>412</v>
      </c>
      <c r="BD26" s="54" t="s">
        <v>391</v>
      </c>
      <c r="BE26" s="54" t="s">
        <v>391</v>
      </c>
      <c r="BF26" s="54" t="s">
        <v>391</v>
      </c>
      <c r="BG26" s="54" t="s">
        <v>391</v>
      </c>
      <c r="BH26" s="54" t="s">
        <v>391</v>
      </c>
      <c r="BI26" s="54" t="s">
        <v>391</v>
      </c>
      <c r="BJ26" s="54" t="s">
        <v>391</v>
      </c>
      <c r="BK26" s="54" t="s">
        <v>391</v>
      </c>
      <c r="BL26" s="53" t="s">
        <v>412</v>
      </c>
      <c r="BM26" s="54" t="s">
        <v>392</v>
      </c>
      <c r="BN26" s="54" t="s">
        <v>393</v>
      </c>
      <c r="BO26" s="54" t="s">
        <v>393</v>
      </c>
      <c r="BP26" s="54" t="s">
        <v>392</v>
      </c>
      <c r="BQ26" s="54" t="s">
        <v>392</v>
      </c>
      <c r="BR26" s="54" t="s">
        <v>393</v>
      </c>
      <c r="BS26" s="54" t="s">
        <v>392</v>
      </c>
      <c r="BT26" s="63" t="s">
        <v>393</v>
      </c>
      <c r="BU26" s="53" t="s">
        <v>412</v>
      </c>
      <c r="BV26" s="54" t="s">
        <v>393</v>
      </c>
      <c r="BW26" s="54" t="s">
        <v>392</v>
      </c>
      <c r="BX26" s="54" t="s">
        <v>392</v>
      </c>
      <c r="BY26" s="54" t="s">
        <v>392</v>
      </c>
      <c r="BZ26" s="54" t="s">
        <v>392</v>
      </c>
      <c r="CA26" s="54" t="s">
        <v>392</v>
      </c>
      <c r="CB26" s="54" t="s">
        <v>392</v>
      </c>
      <c r="CC26" s="54" t="s">
        <v>392</v>
      </c>
      <c r="CD26" s="57" t="s">
        <v>412</v>
      </c>
      <c r="CE26" s="51" t="s">
        <v>412</v>
      </c>
      <c r="CF26" s="51" t="s">
        <v>407</v>
      </c>
      <c r="CG26" s="51" t="s">
        <v>392</v>
      </c>
      <c r="CH26" s="51" t="s">
        <v>392</v>
      </c>
      <c r="CI26" s="51" t="s">
        <v>392</v>
      </c>
      <c r="CJ26" s="51" t="s">
        <v>392</v>
      </c>
      <c r="CK26" s="51" t="s">
        <v>392</v>
      </c>
      <c r="CL26" s="51" t="s">
        <v>392</v>
      </c>
      <c r="CM26" s="51" t="s">
        <v>402</v>
      </c>
      <c r="CN26" s="57" t="s">
        <v>412</v>
      </c>
      <c r="CO26" s="51" t="s">
        <v>412</v>
      </c>
      <c r="CP26" s="51" t="s">
        <v>397</v>
      </c>
      <c r="CQ26" s="51" t="s">
        <v>400</v>
      </c>
      <c r="CR26" s="51" t="s">
        <v>396</v>
      </c>
      <c r="CS26" s="51" t="s">
        <v>396</v>
      </c>
      <c r="CT26" s="51" t="s">
        <v>396</v>
      </c>
      <c r="CU26" s="51" t="s">
        <v>400</v>
      </c>
      <c r="CV26" s="51" t="s">
        <v>396</v>
      </c>
      <c r="CW26" s="57" t="s">
        <v>391</v>
      </c>
      <c r="CX26" s="51" t="s">
        <v>391</v>
      </c>
      <c r="CY26" s="51" t="s">
        <v>391</v>
      </c>
      <c r="CZ26" s="64" t="str">
        <f>IF(_xlfn.XLOOKUP(B26,[2]累计数据!$C$193:$C$245,[2]累计数据!$C$193:$C$245,"N")=B26,"Y","N")</f>
        <v>N</v>
      </c>
      <c r="DA26" s="58">
        <v>0.02</v>
      </c>
      <c r="DB26" s="59">
        <v>0.02</v>
      </c>
      <c r="DC26" s="59">
        <v>0</v>
      </c>
      <c r="DD26" s="65"/>
      <c r="DE26"/>
      <c r="DF26"/>
      <c r="DG26"/>
      <c r="DH26"/>
      <c r="DI26"/>
      <c r="DJ26" s="3"/>
    </row>
    <row r="27" customFormat="1" ht="22.5" customHeight="1" spans="1:114">
      <c r="A27" s="46">
        <v>12227</v>
      </c>
      <c r="B27" s="47" t="s">
        <v>420</v>
      </c>
      <c r="C27" s="48">
        <v>46092</v>
      </c>
      <c r="D27" s="49">
        <f>IF(_xlfn.XLOOKUP(A27,[1]分配表!J:J,[1]分配表!M:M)=0,"未出单",_xlfn.XLOOKUP(A27,[1]分配表!J:J,[1]分配表!M:M))</f>
        <v>46097</v>
      </c>
      <c r="E27" s="50" t="str">
        <f>_xlfn.XLOOKUP(A27,[1]分配表!A:A,[1]分配表!C:C)</f>
        <v>章鹏</v>
      </c>
      <c r="F27" s="50" t="s">
        <v>52</v>
      </c>
      <c r="G27" s="50" t="s">
        <v>34</v>
      </c>
      <c r="H27" s="51">
        <v>0</v>
      </c>
      <c r="I27" s="51">
        <v>2</v>
      </c>
      <c r="J27" s="51">
        <v>4</v>
      </c>
      <c r="K27" s="51">
        <v>2</v>
      </c>
      <c r="L27" s="51">
        <v>3</v>
      </c>
      <c r="M27" s="51">
        <v>1</v>
      </c>
      <c r="N27" s="51">
        <v>4</v>
      </c>
      <c r="O27" s="51">
        <v>3</v>
      </c>
      <c r="P27" s="51">
        <v>5</v>
      </c>
      <c r="Q27" s="52">
        <f t="shared" si="0"/>
        <v>2</v>
      </c>
      <c r="R27" s="53">
        <v>0</v>
      </c>
      <c r="S27" s="54">
        <v>138</v>
      </c>
      <c r="T27" s="54">
        <v>276</v>
      </c>
      <c r="U27" s="54">
        <v>138</v>
      </c>
      <c r="V27" s="54">
        <v>207</v>
      </c>
      <c r="W27" s="54">
        <v>69</v>
      </c>
      <c r="X27" s="54">
        <v>276</v>
      </c>
      <c r="Y27" s="55">
        <v>197</v>
      </c>
      <c r="Z27" s="56">
        <v>345</v>
      </c>
      <c r="AA27" s="54">
        <f t="shared" si="1"/>
        <v>148</v>
      </c>
      <c r="AB27" s="57">
        <v>0</v>
      </c>
      <c r="AC27" s="51">
        <v>4</v>
      </c>
      <c r="AD27" s="51">
        <v>0</v>
      </c>
      <c r="AE27" s="51">
        <v>0</v>
      </c>
      <c r="AF27" s="51">
        <v>1</v>
      </c>
      <c r="AG27" s="51">
        <v>1</v>
      </c>
      <c r="AH27" s="51">
        <v>3</v>
      </c>
      <c r="AI27" s="51">
        <v>1</v>
      </c>
      <c r="AJ27" s="51">
        <v>0</v>
      </c>
      <c r="AK27" s="58" t="s">
        <v>390</v>
      </c>
      <c r="AL27" s="59">
        <v>0.3333</v>
      </c>
      <c r="AM27" s="59">
        <v>1</v>
      </c>
      <c r="AN27" s="59">
        <v>1</v>
      </c>
      <c r="AO27" s="59">
        <v>0.75</v>
      </c>
      <c r="AP27" s="59">
        <v>0.5</v>
      </c>
      <c r="AQ27" s="59">
        <v>0.5</v>
      </c>
      <c r="AR27" s="59">
        <v>0.6667</v>
      </c>
      <c r="AS27" s="59">
        <v>1</v>
      </c>
      <c r="AT27" s="60" t="s">
        <v>412</v>
      </c>
      <c r="AU27" s="61">
        <v>6</v>
      </c>
      <c r="AV27" s="61">
        <v>2</v>
      </c>
      <c r="AW27" s="61">
        <v>10</v>
      </c>
      <c r="AX27" s="61">
        <v>5</v>
      </c>
      <c r="AY27" s="61">
        <v>13</v>
      </c>
      <c r="AZ27" s="61">
        <v>19</v>
      </c>
      <c r="BA27" s="61">
        <v>6</v>
      </c>
      <c r="BB27" s="62">
        <v>13</v>
      </c>
      <c r="BC27" s="54" t="s">
        <v>412</v>
      </c>
      <c r="BD27" s="54" t="s">
        <v>391</v>
      </c>
      <c r="BE27" s="54" t="s">
        <v>391</v>
      </c>
      <c r="BF27" s="54" t="s">
        <v>391</v>
      </c>
      <c r="BG27" s="54" t="s">
        <v>391</v>
      </c>
      <c r="BH27" s="54" t="s">
        <v>391</v>
      </c>
      <c r="BI27" s="54" t="s">
        <v>391</v>
      </c>
      <c r="BJ27" s="54" t="s">
        <v>391</v>
      </c>
      <c r="BK27" s="54" t="s">
        <v>391</v>
      </c>
      <c r="BL27" s="53" t="s">
        <v>412</v>
      </c>
      <c r="BM27" s="54" t="s">
        <v>392</v>
      </c>
      <c r="BN27" s="54" t="s">
        <v>392</v>
      </c>
      <c r="BO27" s="54" t="s">
        <v>393</v>
      </c>
      <c r="BP27" s="54" t="s">
        <v>392</v>
      </c>
      <c r="BQ27" s="54" t="s">
        <v>392</v>
      </c>
      <c r="BR27" s="54" t="s">
        <v>393</v>
      </c>
      <c r="BS27" s="54" t="s">
        <v>392</v>
      </c>
      <c r="BT27" s="63" t="s">
        <v>392</v>
      </c>
      <c r="BU27" s="53" t="s">
        <v>412</v>
      </c>
      <c r="BV27" s="54" t="s">
        <v>393</v>
      </c>
      <c r="BW27" s="54" t="s">
        <v>392</v>
      </c>
      <c r="BX27" s="54" t="s">
        <v>392</v>
      </c>
      <c r="BY27" s="54" t="s">
        <v>392</v>
      </c>
      <c r="BZ27" s="54" t="s">
        <v>392</v>
      </c>
      <c r="CA27" s="54" t="s">
        <v>392</v>
      </c>
      <c r="CB27" s="54" t="s">
        <v>392</v>
      </c>
      <c r="CC27" s="54" t="s">
        <v>392</v>
      </c>
      <c r="CD27" s="57" t="s">
        <v>412</v>
      </c>
      <c r="CE27" s="51" t="s">
        <v>412</v>
      </c>
      <c r="CF27" s="51" t="s">
        <v>402</v>
      </c>
      <c r="CG27" s="51" t="s">
        <v>392</v>
      </c>
      <c r="CH27" s="51" t="s">
        <v>392</v>
      </c>
      <c r="CI27" s="51" t="s">
        <v>392</v>
      </c>
      <c r="CJ27" s="51" t="s">
        <v>392</v>
      </c>
      <c r="CK27" s="51" t="s">
        <v>402</v>
      </c>
      <c r="CL27" s="51" t="s">
        <v>402</v>
      </c>
      <c r="CM27" s="51" t="s">
        <v>392</v>
      </c>
      <c r="CN27" s="57" t="s">
        <v>412</v>
      </c>
      <c r="CO27" s="51" t="s">
        <v>412</v>
      </c>
      <c r="CP27" s="51" t="s">
        <v>400</v>
      </c>
      <c r="CQ27" s="51" t="s">
        <v>404</v>
      </c>
      <c r="CR27" s="51" t="s">
        <v>396</v>
      </c>
      <c r="CS27" s="51" t="s">
        <v>396</v>
      </c>
      <c r="CT27" s="51" t="s">
        <v>396</v>
      </c>
      <c r="CU27" s="51" t="s">
        <v>400</v>
      </c>
      <c r="CV27" s="51" t="s">
        <v>396</v>
      </c>
      <c r="CW27" s="57" t="s">
        <v>398</v>
      </c>
      <c r="CX27" s="51" t="s">
        <v>398</v>
      </c>
      <c r="CY27" s="51" t="s">
        <v>398</v>
      </c>
      <c r="CZ27" s="64" t="str">
        <f>IF(_xlfn.XLOOKUP(B27,[2]累计数据!$C$193:$C$245,[2]累计数据!$C$193:$C$245,"N")=B27,"Y","N")</f>
        <v>N</v>
      </c>
      <c r="DA27" s="58">
        <v>0.02</v>
      </c>
      <c r="DB27" s="59">
        <v>0.02</v>
      </c>
      <c r="DC27" s="59">
        <v>0.02</v>
      </c>
      <c r="DD27" s="65"/>
      <c r="DE27"/>
      <c r="DF27"/>
      <c r="DG27"/>
      <c r="DH27"/>
      <c r="DI27"/>
      <c r="DJ27" s="3"/>
    </row>
    <row r="28" customFormat="1" ht="22.5" customHeight="1" spans="1:114">
      <c r="A28" s="46">
        <v>12309</v>
      </c>
      <c r="B28" s="47" t="s">
        <v>421</v>
      </c>
      <c r="C28" s="48">
        <v>46092</v>
      </c>
      <c r="D28" s="49">
        <f>IF(_xlfn.XLOOKUP(A28,[1]分配表!J:J,[1]分配表!M:M)=0,"未出单",_xlfn.XLOOKUP(A28,[1]分配表!J:J,[1]分配表!M:M))</f>
        <v>46101</v>
      </c>
      <c r="E28" s="50" t="str">
        <f>_xlfn.XLOOKUP(A28,[1]分配表!A:A,[1]分配表!C:C)</f>
        <v>俞东旭</v>
      </c>
      <c r="F28" s="50" t="s">
        <v>44</v>
      </c>
      <c r="G28" s="50" t="s">
        <v>34</v>
      </c>
      <c r="H28" s="51">
        <v>0</v>
      </c>
      <c r="I28" s="51">
        <v>0</v>
      </c>
      <c r="J28" s="51">
        <v>2</v>
      </c>
      <c r="K28" s="51">
        <v>2</v>
      </c>
      <c r="L28" s="51">
        <v>1</v>
      </c>
      <c r="M28" s="51">
        <v>0</v>
      </c>
      <c r="N28" s="51">
        <v>0</v>
      </c>
      <c r="O28" s="51">
        <v>1</v>
      </c>
      <c r="P28" s="51">
        <v>0</v>
      </c>
      <c r="Q28" s="52">
        <f t="shared" si="0"/>
        <v>-1</v>
      </c>
      <c r="R28" s="53">
        <v>0</v>
      </c>
      <c r="S28" s="54">
        <v>0</v>
      </c>
      <c r="T28" s="54">
        <v>960</v>
      </c>
      <c r="U28" s="54">
        <v>960</v>
      </c>
      <c r="V28" s="54">
        <v>480</v>
      </c>
      <c r="W28" s="54">
        <v>0</v>
      </c>
      <c r="X28" s="54">
        <v>0</v>
      </c>
      <c r="Y28" s="55">
        <v>480</v>
      </c>
      <c r="Z28" s="56">
        <v>0</v>
      </c>
      <c r="AA28" s="54">
        <f t="shared" si="1"/>
        <v>-480</v>
      </c>
      <c r="AB28" s="57">
        <v>0</v>
      </c>
      <c r="AC28" s="51">
        <v>3</v>
      </c>
      <c r="AD28" s="51">
        <v>2</v>
      </c>
      <c r="AE28" s="51">
        <v>0</v>
      </c>
      <c r="AF28" s="51">
        <v>1</v>
      </c>
      <c r="AG28" s="51">
        <v>1</v>
      </c>
      <c r="AH28" s="51">
        <v>1</v>
      </c>
      <c r="AI28" s="51">
        <v>1</v>
      </c>
      <c r="AJ28" s="51">
        <v>1</v>
      </c>
      <c r="AK28" s="58" t="s">
        <v>390</v>
      </c>
      <c r="AL28" s="59">
        <v>0</v>
      </c>
      <c r="AM28" s="59">
        <v>0.5</v>
      </c>
      <c r="AN28" s="59">
        <v>1</v>
      </c>
      <c r="AO28" s="59">
        <v>0.5</v>
      </c>
      <c r="AP28" s="59">
        <v>0</v>
      </c>
      <c r="AQ28" s="59">
        <v>0</v>
      </c>
      <c r="AR28" s="59">
        <v>0.5</v>
      </c>
      <c r="AS28" s="59">
        <v>0</v>
      </c>
      <c r="AT28" s="60" t="s">
        <v>412</v>
      </c>
      <c r="AU28" s="61">
        <v>6</v>
      </c>
      <c r="AV28" s="61">
        <v>0</v>
      </c>
      <c r="AW28" s="61">
        <v>8</v>
      </c>
      <c r="AX28" s="61">
        <v>0</v>
      </c>
      <c r="AY28" s="61">
        <v>8</v>
      </c>
      <c r="AZ28" s="61">
        <v>14</v>
      </c>
      <c r="BA28" s="61">
        <v>0</v>
      </c>
      <c r="BB28" s="62">
        <v>1</v>
      </c>
      <c r="BC28" s="54" t="s">
        <v>412</v>
      </c>
      <c r="BD28" s="54" t="s">
        <v>120</v>
      </c>
      <c r="BE28" s="54" t="s">
        <v>398</v>
      </c>
      <c r="BF28" s="54" t="s">
        <v>398</v>
      </c>
      <c r="BG28" s="54" t="s">
        <v>398</v>
      </c>
      <c r="BH28" s="54" t="s">
        <v>398</v>
      </c>
      <c r="BI28" s="54" t="s">
        <v>398</v>
      </c>
      <c r="BJ28" s="54" t="s">
        <v>398</v>
      </c>
      <c r="BK28" s="54" t="s">
        <v>398</v>
      </c>
      <c r="BL28" s="53" t="s">
        <v>412</v>
      </c>
      <c r="BM28" s="54" t="s">
        <v>392</v>
      </c>
      <c r="BN28" s="54" t="s">
        <v>392</v>
      </c>
      <c r="BO28" s="54" t="s">
        <v>393</v>
      </c>
      <c r="BP28" s="54" t="s">
        <v>392</v>
      </c>
      <c r="BQ28" s="54" t="s">
        <v>392</v>
      </c>
      <c r="BR28" s="54" t="s">
        <v>393</v>
      </c>
      <c r="BS28" s="54" t="s">
        <v>392</v>
      </c>
      <c r="BT28" s="63" t="s">
        <v>392</v>
      </c>
      <c r="BU28" s="53" t="s">
        <v>412</v>
      </c>
      <c r="BV28" s="54" t="s">
        <v>393</v>
      </c>
      <c r="BW28" s="54" t="s">
        <v>392</v>
      </c>
      <c r="BX28" s="54" t="s">
        <v>392</v>
      </c>
      <c r="BY28" s="54" t="s">
        <v>392</v>
      </c>
      <c r="BZ28" s="54" t="s">
        <v>392</v>
      </c>
      <c r="CA28" s="54" t="s">
        <v>392</v>
      </c>
      <c r="CB28" s="54" t="s">
        <v>392</v>
      </c>
      <c r="CC28" s="54" t="s">
        <v>392</v>
      </c>
      <c r="CD28" s="57" t="s">
        <v>412</v>
      </c>
      <c r="CE28" s="51" t="s">
        <v>412</v>
      </c>
      <c r="CF28" s="51" t="s">
        <v>402</v>
      </c>
      <c r="CG28" s="51" t="s">
        <v>402</v>
      </c>
      <c r="CH28" s="51" t="s">
        <v>392</v>
      </c>
      <c r="CI28" s="51" t="s">
        <v>402</v>
      </c>
      <c r="CJ28" s="51" t="s">
        <v>394</v>
      </c>
      <c r="CK28" s="51" t="s">
        <v>402</v>
      </c>
      <c r="CL28" s="51" t="s">
        <v>402</v>
      </c>
      <c r="CM28" s="51" t="s">
        <v>402</v>
      </c>
      <c r="CN28" s="57" t="s">
        <v>412</v>
      </c>
      <c r="CO28" s="51" t="s">
        <v>412</v>
      </c>
      <c r="CP28" s="51" t="s">
        <v>400</v>
      </c>
      <c r="CQ28" s="51" t="s">
        <v>400</v>
      </c>
      <c r="CR28" s="51" t="s">
        <v>396</v>
      </c>
      <c r="CS28" s="51" t="s">
        <v>396</v>
      </c>
      <c r="CT28" s="51" t="s">
        <v>396</v>
      </c>
      <c r="CU28" s="51" t="s">
        <v>400</v>
      </c>
      <c r="CV28" s="51" t="s">
        <v>396</v>
      </c>
      <c r="CW28" s="57" t="s">
        <v>398</v>
      </c>
      <c r="CX28" s="51" t="s">
        <v>398</v>
      </c>
      <c r="CY28" s="51" t="s">
        <v>398</v>
      </c>
      <c r="CZ28" s="64" t="str">
        <f>IF(_xlfn.XLOOKUP(B28,[2]累计数据!$C$193:$C$245,[2]累计数据!$C$193:$C$245,"N")=B28,"Y","N")</f>
        <v>N</v>
      </c>
      <c r="DA28" s="58">
        <v>0.02</v>
      </c>
      <c r="DB28" s="59">
        <v>0.02</v>
      </c>
      <c r="DC28" s="59">
        <v>0.02</v>
      </c>
      <c r="DD28" s="65"/>
      <c r="DE28"/>
      <c r="DF28"/>
      <c r="DG28"/>
      <c r="DH28"/>
      <c r="DI28"/>
      <c r="DJ28" s="3"/>
    </row>
    <row r="29" customFormat="1" ht="22.5" customHeight="1" spans="1:114">
      <c r="A29" s="46">
        <v>12310</v>
      </c>
      <c r="B29" s="47" t="s">
        <v>422</v>
      </c>
      <c r="C29" s="48">
        <v>46092</v>
      </c>
      <c r="D29" s="49">
        <f>IF(_xlfn.XLOOKUP(A29,[1]分配表!J:J,[1]分配表!M:M)=0,"未出单",_xlfn.XLOOKUP(A29,[1]分配表!J:J,[1]分配表!M:M))</f>
        <v>46096</v>
      </c>
      <c r="E29" s="50" t="str">
        <f>_xlfn.XLOOKUP(A29,[1]分配表!A:A,[1]分配表!C:C)</f>
        <v>俞东旭</v>
      </c>
      <c r="F29" s="50" t="s">
        <v>44</v>
      </c>
      <c r="G29" s="50" t="s">
        <v>34</v>
      </c>
      <c r="H29" s="51">
        <v>0</v>
      </c>
      <c r="I29" s="51">
        <v>2</v>
      </c>
      <c r="J29" s="51">
        <v>0</v>
      </c>
      <c r="K29" s="51">
        <v>3</v>
      </c>
      <c r="L29" s="51">
        <v>1</v>
      </c>
      <c r="M29" s="51">
        <v>2</v>
      </c>
      <c r="N29" s="51">
        <v>1</v>
      </c>
      <c r="O29" s="51">
        <v>2</v>
      </c>
      <c r="P29" s="51">
        <v>1</v>
      </c>
      <c r="Q29" s="52">
        <f t="shared" si="0"/>
        <v>-1</v>
      </c>
      <c r="R29" s="53">
        <v>0</v>
      </c>
      <c r="S29" s="54">
        <v>960</v>
      </c>
      <c r="T29" s="54">
        <v>0</v>
      </c>
      <c r="U29" s="54">
        <v>1440</v>
      </c>
      <c r="V29" s="54">
        <v>480</v>
      </c>
      <c r="W29" s="54">
        <v>960</v>
      </c>
      <c r="X29" s="54">
        <v>485</v>
      </c>
      <c r="Y29" s="55">
        <v>969</v>
      </c>
      <c r="Z29" s="56">
        <v>483</v>
      </c>
      <c r="AA29" s="54">
        <f t="shared" si="1"/>
        <v>-486</v>
      </c>
      <c r="AB29" s="57">
        <v>0</v>
      </c>
      <c r="AC29" s="51">
        <v>1</v>
      </c>
      <c r="AD29" s="51">
        <v>1</v>
      </c>
      <c r="AE29" s="51">
        <v>2</v>
      </c>
      <c r="AF29" s="51">
        <v>0</v>
      </c>
      <c r="AG29" s="51">
        <v>2</v>
      </c>
      <c r="AH29" s="51">
        <v>0</v>
      </c>
      <c r="AI29" s="51">
        <v>0</v>
      </c>
      <c r="AJ29" s="51">
        <v>4</v>
      </c>
      <c r="AK29" s="58" t="s">
        <v>390</v>
      </c>
      <c r="AL29" s="59">
        <v>0.6667</v>
      </c>
      <c r="AM29" s="59">
        <v>0</v>
      </c>
      <c r="AN29" s="59">
        <v>0.6</v>
      </c>
      <c r="AO29" s="59">
        <v>1</v>
      </c>
      <c r="AP29" s="59">
        <v>0.5</v>
      </c>
      <c r="AQ29" s="59">
        <v>1</v>
      </c>
      <c r="AR29" s="59">
        <v>1</v>
      </c>
      <c r="AS29" s="59">
        <v>0.3333</v>
      </c>
      <c r="AT29" s="60" t="s">
        <v>412</v>
      </c>
      <c r="AU29" s="61">
        <v>6</v>
      </c>
      <c r="AV29" s="61">
        <v>0</v>
      </c>
      <c r="AW29" s="61">
        <v>5</v>
      </c>
      <c r="AX29" s="61">
        <v>11</v>
      </c>
      <c r="AY29" s="61">
        <v>1</v>
      </c>
      <c r="AZ29" s="61">
        <v>2</v>
      </c>
      <c r="BA29" s="61">
        <v>9</v>
      </c>
      <c r="BB29" s="62">
        <v>16</v>
      </c>
      <c r="BC29" s="54" t="s">
        <v>412</v>
      </c>
      <c r="BD29" s="54" t="s">
        <v>391</v>
      </c>
      <c r="BE29" s="54" t="s">
        <v>391</v>
      </c>
      <c r="BF29" s="54" t="s">
        <v>391</v>
      </c>
      <c r="BG29" s="54" t="s">
        <v>391</v>
      </c>
      <c r="BH29" s="54" t="s">
        <v>391</v>
      </c>
      <c r="BI29" s="54" t="s">
        <v>391</v>
      </c>
      <c r="BJ29" s="54" t="s">
        <v>391</v>
      </c>
      <c r="BK29" s="54" t="s">
        <v>391</v>
      </c>
      <c r="BL29" s="53" t="s">
        <v>412</v>
      </c>
      <c r="BM29" s="54" t="s">
        <v>392</v>
      </c>
      <c r="BN29" s="54" t="s">
        <v>392</v>
      </c>
      <c r="BO29" s="54" t="s">
        <v>392</v>
      </c>
      <c r="BP29" s="54" t="s">
        <v>393</v>
      </c>
      <c r="BQ29" s="54" t="s">
        <v>392</v>
      </c>
      <c r="BR29" s="54" t="s">
        <v>392</v>
      </c>
      <c r="BS29" s="54" t="s">
        <v>392</v>
      </c>
      <c r="BT29" s="63" t="s">
        <v>393</v>
      </c>
      <c r="BU29" s="53" t="s">
        <v>412</v>
      </c>
      <c r="BV29" s="54" t="s">
        <v>393</v>
      </c>
      <c r="BW29" s="54" t="s">
        <v>392</v>
      </c>
      <c r="BX29" s="54" t="s">
        <v>392</v>
      </c>
      <c r="BY29" s="54" t="s">
        <v>392</v>
      </c>
      <c r="BZ29" s="54" t="s">
        <v>392</v>
      </c>
      <c r="CA29" s="54" t="s">
        <v>392</v>
      </c>
      <c r="CB29" s="54" t="s">
        <v>392</v>
      </c>
      <c r="CC29" s="54" t="s">
        <v>392</v>
      </c>
      <c r="CD29" s="57" t="s">
        <v>412</v>
      </c>
      <c r="CE29" s="51" t="s">
        <v>412</v>
      </c>
      <c r="CF29" s="51" t="s">
        <v>402</v>
      </c>
      <c r="CG29" s="51" t="s">
        <v>402</v>
      </c>
      <c r="CH29" s="51" t="s">
        <v>392</v>
      </c>
      <c r="CI29" s="51" t="s">
        <v>392</v>
      </c>
      <c r="CJ29" s="51" t="s">
        <v>392</v>
      </c>
      <c r="CK29" s="51" t="s">
        <v>392</v>
      </c>
      <c r="CL29" s="51" t="s">
        <v>392</v>
      </c>
      <c r="CM29" s="51" t="s">
        <v>402</v>
      </c>
      <c r="CN29" s="57" t="s">
        <v>412</v>
      </c>
      <c r="CO29" s="51" t="s">
        <v>412</v>
      </c>
      <c r="CP29" s="51" t="s">
        <v>400</v>
      </c>
      <c r="CQ29" s="51" t="s">
        <v>396</v>
      </c>
      <c r="CR29" s="51" t="s">
        <v>396</v>
      </c>
      <c r="CS29" s="51" t="s">
        <v>404</v>
      </c>
      <c r="CT29" s="51" t="s">
        <v>396</v>
      </c>
      <c r="CU29" s="51" t="s">
        <v>396</v>
      </c>
      <c r="CV29" s="51" t="s">
        <v>396</v>
      </c>
      <c r="CW29" s="57" t="s">
        <v>398</v>
      </c>
      <c r="CX29" s="51" t="s">
        <v>398</v>
      </c>
      <c r="CY29" s="51" t="s">
        <v>398</v>
      </c>
      <c r="CZ29" s="64" t="str">
        <f>IF(_xlfn.XLOOKUP(B29,[2]累计数据!$C$193:$C$245,[2]累计数据!$C$193:$C$245,"N")=B29,"Y","N")</f>
        <v>N</v>
      </c>
      <c r="DA29" s="58">
        <v>0.025</v>
      </c>
      <c r="DB29" s="59">
        <v>0.02</v>
      </c>
      <c r="DC29" s="59">
        <v>0.02</v>
      </c>
      <c r="DD29" s="65"/>
      <c r="DE29"/>
      <c r="DF29"/>
      <c r="DG29"/>
      <c r="DH29"/>
      <c r="DI29"/>
      <c r="DJ29" s="3"/>
    </row>
    <row r="30" customFormat="1" ht="22.5" customHeight="1" spans="1:114">
      <c r="A30" s="46">
        <v>12311</v>
      </c>
      <c r="B30" s="47" t="s">
        <v>423</v>
      </c>
      <c r="C30" s="48">
        <v>46092</v>
      </c>
      <c r="D30" s="49">
        <f>IF(_xlfn.XLOOKUP(A30,[1]分配表!J:J,[1]分配表!M:M)=0,"未出单",_xlfn.XLOOKUP(A30,[1]分配表!J:J,[1]分配表!M:M))</f>
        <v>46102</v>
      </c>
      <c r="E30" s="50" t="str">
        <f>_xlfn.XLOOKUP(A30,[1]分配表!A:A,[1]分配表!C:C)</f>
        <v>俞东旭</v>
      </c>
      <c r="F30" s="50" t="s">
        <v>44</v>
      </c>
      <c r="G30" s="50" t="s">
        <v>34</v>
      </c>
      <c r="H30" s="51">
        <v>0</v>
      </c>
      <c r="I30" s="51">
        <v>0</v>
      </c>
      <c r="J30" s="51">
        <v>1</v>
      </c>
      <c r="K30" s="51">
        <v>0</v>
      </c>
      <c r="L30" s="51">
        <v>1</v>
      </c>
      <c r="M30" s="51">
        <v>1</v>
      </c>
      <c r="N30" s="51">
        <v>0</v>
      </c>
      <c r="O30" s="51">
        <v>0</v>
      </c>
      <c r="P30" s="51">
        <v>0</v>
      </c>
      <c r="Q30" s="52">
        <f t="shared" si="0"/>
        <v>0</v>
      </c>
      <c r="R30" s="53">
        <v>0</v>
      </c>
      <c r="S30" s="54">
        <v>0</v>
      </c>
      <c r="T30" s="54">
        <v>480</v>
      </c>
      <c r="U30" s="54">
        <v>0</v>
      </c>
      <c r="V30" s="54">
        <v>480</v>
      </c>
      <c r="W30" s="54">
        <v>480</v>
      </c>
      <c r="X30" s="54">
        <v>0</v>
      </c>
      <c r="Y30" s="55">
        <v>0</v>
      </c>
      <c r="Z30" s="56">
        <v>0</v>
      </c>
      <c r="AA30" s="54">
        <f t="shared" si="1"/>
        <v>0</v>
      </c>
      <c r="AB30" s="57">
        <v>0</v>
      </c>
      <c r="AC30" s="51">
        <v>1</v>
      </c>
      <c r="AD30" s="51">
        <v>3</v>
      </c>
      <c r="AE30" s="51">
        <v>1</v>
      </c>
      <c r="AF30" s="51">
        <v>0</v>
      </c>
      <c r="AG30" s="51">
        <v>2</v>
      </c>
      <c r="AH30" s="51">
        <v>2</v>
      </c>
      <c r="AI30" s="51">
        <v>1</v>
      </c>
      <c r="AJ30" s="51">
        <v>2</v>
      </c>
      <c r="AK30" s="58" t="s">
        <v>390</v>
      </c>
      <c r="AL30" s="59">
        <v>0</v>
      </c>
      <c r="AM30" s="59">
        <v>0.25</v>
      </c>
      <c r="AN30" s="59">
        <v>0</v>
      </c>
      <c r="AO30" s="59">
        <v>1</v>
      </c>
      <c r="AP30" s="59">
        <v>0.333333333333333</v>
      </c>
      <c r="AQ30" s="59">
        <v>0.3333</v>
      </c>
      <c r="AR30" s="59">
        <v>0</v>
      </c>
      <c r="AS30" s="59">
        <v>0</v>
      </c>
      <c r="AT30" s="60" t="s">
        <v>412</v>
      </c>
      <c r="AU30" s="61">
        <v>6</v>
      </c>
      <c r="AV30" s="61">
        <v>0</v>
      </c>
      <c r="AW30" s="61">
        <v>8</v>
      </c>
      <c r="AX30" s="61">
        <v>0</v>
      </c>
      <c r="AY30" s="61">
        <v>6</v>
      </c>
      <c r="AZ30" s="61">
        <v>12</v>
      </c>
      <c r="BA30" s="61">
        <v>0</v>
      </c>
      <c r="BB30" s="62">
        <v>1</v>
      </c>
      <c r="BC30" s="54" t="s">
        <v>412</v>
      </c>
      <c r="BD30" s="54" t="s">
        <v>120</v>
      </c>
      <c r="BE30" s="54" t="s">
        <v>398</v>
      </c>
      <c r="BF30" s="54" t="s">
        <v>398</v>
      </c>
      <c r="BG30" s="54" t="s">
        <v>398</v>
      </c>
      <c r="BH30" s="54" t="s">
        <v>398</v>
      </c>
      <c r="BI30" s="54" t="s">
        <v>398</v>
      </c>
      <c r="BJ30" s="54" t="s">
        <v>398</v>
      </c>
      <c r="BK30" s="54" t="s">
        <v>398</v>
      </c>
      <c r="BL30" s="53" t="s">
        <v>412</v>
      </c>
      <c r="BM30" s="54" t="s">
        <v>392</v>
      </c>
      <c r="BN30" s="54" t="s">
        <v>392</v>
      </c>
      <c r="BO30" s="54" t="s">
        <v>393</v>
      </c>
      <c r="BP30" s="54" t="s">
        <v>392</v>
      </c>
      <c r="BQ30" s="54" t="s">
        <v>392</v>
      </c>
      <c r="BR30" s="54" t="s">
        <v>393</v>
      </c>
      <c r="BS30" s="54" t="s">
        <v>392</v>
      </c>
      <c r="BT30" s="63" t="s">
        <v>392</v>
      </c>
      <c r="BU30" s="53" t="s">
        <v>412</v>
      </c>
      <c r="BV30" s="54" t="s">
        <v>393</v>
      </c>
      <c r="BW30" s="54" t="s">
        <v>392</v>
      </c>
      <c r="BX30" s="54" t="s">
        <v>392</v>
      </c>
      <c r="BY30" s="54" t="s">
        <v>392</v>
      </c>
      <c r="BZ30" s="54" t="s">
        <v>392</v>
      </c>
      <c r="CA30" s="54" t="s">
        <v>392</v>
      </c>
      <c r="CB30" s="54" t="s">
        <v>392</v>
      </c>
      <c r="CC30" s="54" t="s">
        <v>392</v>
      </c>
      <c r="CD30" s="57" t="s">
        <v>412</v>
      </c>
      <c r="CE30" s="51" t="s">
        <v>412</v>
      </c>
      <c r="CF30" s="51" t="s">
        <v>402</v>
      </c>
      <c r="CG30" s="51" t="s">
        <v>402</v>
      </c>
      <c r="CH30" s="51" t="s">
        <v>402</v>
      </c>
      <c r="CI30" s="51" t="s">
        <v>392</v>
      </c>
      <c r="CJ30" s="51" t="s">
        <v>402</v>
      </c>
      <c r="CK30" s="51" t="s">
        <v>402</v>
      </c>
      <c r="CL30" s="51" t="s">
        <v>402</v>
      </c>
      <c r="CM30" s="51" t="s">
        <v>402</v>
      </c>
      <c r="CN30" s="57" t="s">
        <v>412</v>
      </c>
      <c r="CO30" s="51" t="s">
        <v>412</v>
      </c>
      <c r="CP30" s="51" t="s">
        <v>400</v>
      </c>
      <c r="CQ30" s="51" t="s">
        <v>400</v>
      </c>
      <c r="CR30" s="51" t="s">
        <v>396</v>
      </c>
      <c r="CS30" s="51" t="s">
        <v>396</v>
      </c>
      <c r="CT30" s="51" t="s">
        <v>396</v>
      </c>
      <c r="CU30" s="51" t="s">
        <v>400</v>
      </c>
      <c r="CV30" s="51" t="s">
        <v>396</v>
      </c>
      <c r="CW30" s="57" t="s">
        <v>398</v>
      </c>
      <c r="CX30" s="51" t="s">
        <v>398</v>
      </c>
      <c r="CY30" s="51" t="s">
        <v>398</v>
      </c>
      <c r="CZ30" s="64" t="str">
        <f>IF(_xlfn.XLOOKUP(B30,[2]累计数据!$C$193:$C$245,[2]累计数据!$C$193:$C$245,"N")=B30,"Y","N")</f>
        <v>N</v>
      </c>
      <c r="DA30" s="58">
        <v>0.02</v>
      </c>
      <c r="DB30" s="59">
        <v>0.02</v>
      </c>
      <c r="DC30" s="59">
        <v>0.02</v>
      </c>
      <c r="DD30" s="65"/>
      <c r="DE30"/>
      <c r="DF30"/>
      <c r="DG30"/>
      <c r="DH30"/>
      <c r="DI30"/>
      <c r="DJ30" s="3"/>
    </row>
    <row r="31" customFormat="1" ht="22.5" customHeight="1" spans="1:114">
      <c r="A31" s="46">
        <v>12312</v>
      </c>
      <c r="B31" s="47" t="s">
        <v>129</v>
      </c>
      <c r="C31" s="48">
        <v>46092</v>
      </c>
      <c r="D31" s="49">
        <f>IF(_xlfn.XLOOKUP(A31,[1]分配表!J:J,[1]分配表!M:M)=0,"未出单",_xlfn.XLOOKUP(A31,[1]分配表!J:J,[1]分配表!M:M))</f>
        <v>46096</v>
      </c>
      <c r="E31" s="50" t="str">
        <f>_xlfn.XLOOKUP(A31,[1]分配表!A:A,[1]分配表!C:C)</f>
        <v>俞东旭</v>
      </c>
      <c r="F31" s="50" t="s">
        <v>44</v>
      </c>
      <c r="G31" s="50" t="s">
        <v>34</v>
      </c>
      <c r="H31" s="51">
        <v>0</v>
      </c>
      <c r="I31" s="51">
        <v>2</v>
      </c>
      <c r="J31" s="51">
        <v>0</v>
      </c>
      <c r="K31" s="51">
        <v>3</v>
      </c>
      <c r="L31" s="51">
        <v>0</v>
      </c>
      <c r="M31" s="51">
        <v>0</v>
      </c>
      <c r="N31" s="51">
        <v>0</v>
      </c>
      <c r="O31" s="51">
        <v>2</v>
      </c>
      <c r="P31" s="51">
        <v>1</v>
      </c>
      <c r="Q31" s="52">
        <f t="shared" si="0"/>
        <v>-1</v>
      </c>
      <c r="R31" s="53">
        <v>0</v>
      </c>
      <c r="S31" s="54">
        <v>960</v>
      </c>
      <c r="T31" s="54">
        <v>0</v>
      </c>
      <c r="U31" s="54">
        <v>1440</v>
      </c>
      <c r="V31" s="54">
        <v>0</v>
      </c>
      <c r="W31" s="54">
        <v>0</v>
      </c>
      <c r="X31" s="54">
        <v>0</v>
      </c>
      <c r="Y31" s="55">
        <v>956</v>
      </c>
      <c r="Z31" s="56">
        <v>478</v>
      </c>
      <c r="AA31" s="54">
        <f t="shared" si="1"/>
        <v>-478</v>
      </c>
      <c r="AB31" s="57">
        <v>0</v>
      </c>
      <c r="AC31" s="51">
        <v>3</v>
      </c>
      <c r="AD31" s="51">
        <v>3</v>
      </c>
      <c r="AE31" s="51">
        <v>0</v>
      </c>
      <c r="AF31" s="51">
        <v>1</v>
      </c>
      <c r="AG31" s="51">
        <v>4</v>
      </c>
      <c r="AH31" s="51">
        <v>2</v>
      </c>
      <c r="AI31" s="51">
        <v>2</v>
      </c>
      <c r="AJ31" s="51">
        <v>4</v>
      </c>
      <c r="AK31" s="58" t="s">
        <v>390</v>
      </c>
      <c r="AL31" s="59">
        <v>0.4</v>
      </c>
      <c r="AM31" s="59">
        <v>0</v>
      </c>
      <c r="AN31" s="59">
        <v>1</v>
      </c>
      <c r="AO31" s="59">
        <v>0</v>
      </c>
      <c r="AP31" s="59">
        <v>0</v>
      </c>
      <c r="AQ31" s="59">
        <v>0</v>
      </c>
      <c r="AR31" s="59">
        <v>0.3333</v>
      </c>
      <c r="AS31" s="59">
        <v>0.3333</v>
      </c>
      <c r="AT31" s="60" t="s">
        <v>412</v>
      </c>
      <c r="AU31" s="61">
        <v>6</v>
      </c>
      <c r="AV31" s="61">
        <v>0</v>
      </c>
      <c r="AW31" s="61">
        <v>5</v>
      </c>
      <c r="AX31" s="61">
        <v>11</v>
      </c>
      <c r="AY31" s="61">
        <v>1</v>
      </c>
      <c r="AZ31" s="61">
        <v>5</v>
      </c>
      <c r="BA31" s="61">
        <v>4</v>
      </c>
      <c r="BB31" s="62">
        <v>1</v>
      </c>
      <c r="BC31" s="54" t="s">
        <v>412</v>
      </c>
      <c r="BD31" s="54" t="s">
        <v>391</v>
      </c>
      <c r="BE31" s="54" t="s">
        <v>391</v>
      </c>
      <c r="BF31" s="54" t="s">
        <v>391</v>
      </c>
      <c r="BG31" s="54" t="s">
        <v>391</v>
      </c>
      <c r="BH31" s="54" t="s">
        <v>391</v>
      </c>
      <c r="BI31" s="54" t="s">
        <v>391</v>
      </c>
      <c r="BJ31" s="54" t="s">
        <v>391</v>
      </c>
      <c r="BK31" s="54" t="s">
        <v>391</v>
      </c>
      <c r="BL31" s="53" t="s">
        <v>412</v>
      </c>
      <c r="BM31" s="54" t="s">
        <v>392</v>
      </c>
      <c r="BN31" s="54" t="s">
        <v>392</v>
      </c>
      <c r="BO31" s="54" t="s">
        <v>392</v>
      </c>
      <c r="BP31" s="54" t="s">
        <v>393</v>
      </c>
      <c r="BQ31" s="54" t="s">
        <v>392</v>
      </c>
      <c r="BR31" s="54" t="s">
        <v>392</v>
      </c>
      <c r="BS31" s="54" t="s">
        <v>392</v>
      </c>
      <c r="BT31" s="63" t="s">
        <v>392</v>
      </c>
      <c r="BU31" s="53" t="s">
        <v>412</v>
      </c>
      <c r="BV31" s="54" t="s">
        <v>393</v>
      </c>
      <c r="BW31" s="54" t="s">
        <v>392</v>
      </c>
      <c r="BX31" s="54" t="s">
        <v>392</v>
      </c>
      <c r="BY31" s="54" t="s">
        <v>392</v>
      </c>
      <c r="BZ31" s="54" t="s">
        <v>392</v>
      </c>
      <c r="CA31" s="54" t="s">
        <v>392</v>
      </c>
      <c r="CB31" s="54" t="s">
        <v>392</v>
      </c>
      <c r="CC31" s="54" t="s">
        <v>392</v>
      </c>
      <c r="CD31" s="57" t="s">
        <v>412</v>
      </c>
      <c r="CE31" s="51" t="s">
        <v>412</v>
      </c>
      <c r="CF31" s="51" t="s">
        <v>407</v>
      </c>
      <c r="CG31" s="51" t="s">
        <v>402</v>
      </c>
      <c r="CH31" s="51" t="s">
        <v>402</v>
      </c>
      <c r="CI31" s="51" t="s">
        <v>402</v>
      </c>
      <c r="CJ31" s="51" t="s">
        <v>402</v>
      </c>
      <c r="CK31" s="51" t="s">
        <v>402</v>
      </c>
      <c r="CL31" s="51" t="s">
        <v>402</v>
      </c>
      <c r="CM31" s="51" t="s">
        <v>402</v>
      </c>
      <c r="CN31" s="57" t="s">
        <v>412</v>
      </c>
      <c r="CO31" s="51" t="s">
        <v>412</v>
      </c>
      <c r="CP31" s="51" t="s">
        <v>400</v>
      </c>
      <c r="CQ31" s="51" t="s">
        <v>396</v>
      </c>
      <c r="CR31" s="51" t="s">
        <v>396</v>
      </c>
      <c r="CS31" s="51" t="s">
        <v>395</v>
      </c>
      <c r="CT31" s="51" t="s">
        <v>396</v>
      </c>
      <c r="CU31" s="51" t="s">
        <v>396</v>
      </c>
      <c r="CV31" s="51" t="s">
        <v>396</v>
      </c>
      <c r="CW31" s="57" t="s">
        <v>391</v>
      </c>
      <c r="CX31" s="51" t="s">
        <v>391</v>
      </c>
      <c r="CY31" s="51" t="s">
        <v>391</v>
      </c>
      <c r="CZ31" s="64" t="str">
        <f>IF(_xlfn.XLOOKUP(B31,[2]累计数据!$C$193:$C$245,[2]累计数据!$C$193:$C$245,"N")=B31,"Y","N")</f>
        <v>Y</v>
      </c>
      <c r="DA31" s="58">
        <v>0.025</v>
      </c>
      <c r="DB31" s="59">
        <v>0</v>
      </c>
      <c r="DC31" s="59">
        <v>0</v>
      </c>
      <c r="DD31" s="65"/>
      <c r="DE31"/>
      <c r="DF31"/>
      <c r="DG31"/>
      <c r="DH31"/>
      <c r="DI31"/>
      <c r="DJ31" s="3"/>
    </row>
    <row r="32" customFormat="1" ht="22.5" customHeight="1" spans="1:114">
      <c r="A32" s="46">
        <v>12441</v>
      </c>
      <c r="B32" s="47" t="s">
        <v>107</v>
      </c>
      <c r="C32" s="48">
        <v>46093</v>
      </c>
      <c r="D32" s="49">
        <f>IF(_xlfn.XLOOKUP(A32,[1]分配表!J:J,[1]分配表!M:M)=0,"未出单",_xlfn.XLOOKUP(A32,[1]分配表!J:J,[1]分配表!M:M))</f>
        <v>46100</v>
      </c>
      <c r="E32" s="50" t="str">
        <f>_xlfn.XLOOKUP(A32,[1]分配表!A:A,[1]分配表!C:C)</f>
        <v>张潇</v>
      </c>
      <c r="F32" s="50" t="s">
        <v>33</v>
      </c>
      <c r="G32" s="50" t="s">
        <v>34</v>
      </c>
      <c r="H32" s="51">
        <v>0</v>
      </c>
      <c r="I32" s="51">
        <v>0</v>
      </c>
      <c r="J32" s="51">
        <v>3</v>
      </c>
      <c r="K32" s="51">
        <v>2</v>
      </c>
      <c r="L32" s="51">
        <v>1</v>
      </c>
      <c r="M32" s="51">
        <v>4</v>
      </c>
      <c r="N32" s="51">
        <v>0</v>
      </c>
      <c r="O32" s="51">
        <v>1</v>
      </c>
      <c r="P32" s="51">
        <v>2</v>
      </c>
      <c r="Q32" s="52">
        <f t="shared" si="0"/>
        <v>1</v>
      </c>
      <c r="R32" s="53">
        <v>0</v>
      </c>
      <c r="S32" s="54">
        <v>0</v>
      </c>
      <c r="T32" s="54">
        <v>417</v>
      </c>
      <c r="U32" s="54">
        <v>278</v>
      </c>
      <c r="V32" s="54">
        <v>143</v>
      </c>
      <c r="W32" s="54">
        <v>556</v>
      </c>
      <c r="X32" s="54">
        <v>0</v>
      </c>
      <c r="Y32" s="55">
        <v>139</v>
      </c>
      <c r="Z32" s="56">
        <v>278</v>
      </c>
      <c r="AA32" s="54">
        <f t="shared" si="1"/>
        <v>139</v>
      </c>
      <c r="AB32" s="57">
        <v>0</v>
      </c>
      <c r="AC32" s="51">
        <v>1</v>
      </c>
      <c r="AD32" s="51">
        <v>1</v>
      </c>
      <c r="AE32" s="51">
        <v>1</v>
      </c>
      <c r="AF32" s="51">
        <v>2</v>
      </c>
      <c r="AG32" s="51">
        <v>0</v>
      </c>
      <c r="AH32" s="51">
        <v>0</v>
      </c>
      <c r="AI32" s="51">
        <v>0</v>
      </c>
      <c r="AJ32" s="51">
        <v>1</v>
      </c>
      <c r="AK32" s="58" t="s">
        <v>390</v>
      </c>
      <c r="AL32" s="59">
        <v>0</v>
      </c>
      <c r="AM32" s="59">
        <v>0.75</v>
      </c>
      <c r="AN32" s="59">
        <v>0.666666666666667</v>
      </c>
      <c r="AO32" s="59">
        <v>0.333333333333333</v>
      </c>
      <c r="AP32" s="59">
        <v>1</v>
      </c>
      <c r="AQ32" s="59">
        <v>1</v>
      </c>
      <c r="AR32" s="59">
        <v>1</v>
      </c>
      <c r="AS32" s="59">
        <v>0.5</v>
      </c>
      <c r="AT32" s="60" t="s">
        <v>412</v>
      </c>
      <c r="AU32" s="61">
        <v>5</v>
      </c>
      <c r="AV32" s="61">
        <v>0</v>
      </c>
      <c r="AW32" s="61">
        <v>8</v>
      </c>
      <c r="AX32" s="61">
        <v>0</v>
      </c>
      <c r="AY32" s="61">
        <v>6</v>
      </c>
      <c r="AZ32" s="61">
        <v>12</v>
      </c>
      <c r="BA32" s="61">
        <v>19</v>
      </c>
      <c r="BB32" s="62">
        <v>26</v>
      </c>
      <c r="BC32" s="54" t="s">
        <v>412</v>
      </c>
      <c r="BD32" s="54" t="s">
        <v>120</v>
      </c>
      <c r="BE32" s="54" t="s">
        <v>391</v>
      </c>
      <c r="BF32" s="54" t="s">
        <v>391</v>
      </c>
      <c r="BG32" s="54" t="s">
        <v>391</v>
      </c>
      <c r="BH32" s="54" t="s">
        <v>391</v>
      </c>
      <c r="BI32" s="54" t="s">
        <v>391</v>
      </c>
      <c r="BJ32" s="54" t="s">
        <v>391</v>
      </c>
      <c r="BK32" s="54" t="s">
        <v>391</v>
      </c>
      <c r="BL32" s="53" t="s">
        <v>412</v>
      </c>
      <c r="BM32" s="54" t="s">
        <v>392</v>
      </c>
      <c r="BN32" s="54" t="s">
        <v>392</v>
      </c>
      <c r="BO32" s="54" t="s">
        <v>393</v>
      </c>
      <c r="BP32" s="54" t="s">
        <v>392</v>
      </c>
      <c r="BQ32" s="54" t="s">
        <v>392</v>
      </c>
      <c r="BR32" s="54" t="s">
        <v>392</v>
      </c>
      <c r="BS32" s="54" t="s">
        <v>392</v>
      </c>
      <c r="BT32" s="63" t="s">
        <v>393</v>
      </c>
      <c r="BU32" s="53" t="s">
        <v>412</v>
      </c>
      <c r="BV32" s="54" t="s">
        <v>393</v>
      </c>
      <c r="BW32" s="54" t="s">
        <v>392</v>
      </c>
      <c r="BX32" s="54" t="s">
        <v>392</v>
      </c>
      <c r="BY32" s="54" t="s">
        <v>392</v>
      </c>
      <c r="BZ32" s="54" t="s">
        <v>392</v>
      </c>
      <c r="CA32" s="54" t="s">
        <v>392</v>
      </c>
      <c r="CB32" s="54" t="s">
        <v>392</v>
      </c>
      <c r="CC32" s="54" t="s">
        <v>392</v>
      </c>
      <c r="CD32" s="57" t="s">
        <v>412</v>
      </c>
      <c r="CE32" s="51" t="s">
        <v>412</v>
      </c>
      <c r="CF32" s="51" t="s">
        <v>402</v>
      </c>
      <c r="CG32" s="51" t="s">
        <v>402</v>
      </c>
      <c r="CH32" s="51" t="s">
        <v>402</v>
      </c>
      <c r="CI32" s="51" t="s">
        <v>402</v>
      </c>
      <c r="CJ32" s="51" t="s">
        <v>402</v>
      </c>
      <c r="CK32" s="51" t="s">
        <v>392</v>
      </c>
      <c r="CL32" s="51" t="s">
        <v>392</v>
      </c>
      <c r="CM32" s="51" t="s">
        <v>402</v>
      </c>
      <c r="CN32" s="57" t="s">
        <v>412</v>
      </c>
      <c r="CO32" s="51" t="s">
        <v>412</v>
      </c>
      <c r="CP32" s="51" t="s">
        <v>400</v>
      </c>
      <c r="CQ32" s="51" t="s">
        <v>414</v>
      </c>
      <c r="CR32" s="51" t="s">
        <v>396</v>
      </c>
      <c r="CS32" s="51" t="s">
        <v>396</v>
      </c>
      <c r="CT32" s="51" t="s">
        <v>396</v>
      </c>
      <c r="CU32" s="51" t="s">
        <v>396</v>
      </c>
      <c r="CV32" s="51" t="s">
        <v>396</v>
      </c>
      <c r="CW32" s="57" t="s">
        <v>391</v>
      </c>
      <c r="CX32" s="51" t="s">
        <v>391</v>
      </c>
      <c r="CY32" s="51" t="s">
        <v>391</v>
      </c>
      <c r="CZ32" s="64" t="str">
        <f>IF(_xlfn.XLOOKUP(B32,[2]累计数据!$C$193:$C$245,[2]累计数据!$C$193:$C$245,"N")=B32,"Y","N")</f>
        <v>N</v>
      </c>
      <c r="DA32" s="58">
        <v>0.02</v>
      </c>
      <c r="DB32" s="59">
        <v>0</v>
      </c>
      <c r="DC32" s="59">
        <v>0</v>
      </c>
      <c r="DD32" s="65"/>
      <c r="DE32"/>
      <c r="DF32"/>
      <c r="DG32"/>
      <c r="DH32"/>
      <c r="DI32"/>
      <c r="DJ32" s="3"/>
    </row>
    <row r="33" customFormat="1" ht="22.5" customHeight="1" spans="1:114">
      <c r="A33" s="46">
        <v>12271</v>
      </c>
      <c r="B33" s="47" t="s">
        <v>424</v>
      </c>
      <c r="C33" s="48">
        <v>46097</v>
      </c>
      <c r="D33" s="49">
        <f>IF(_xlfn.XLOOKUP(A33,[1]分配表!J:J,[1]分配表!M:M)=0,"未出单",_xlfn.XLOOKUP(A33,[1]分配表!J:J,[1]分配表!M:M))</f>
        <v>46098</v>
      </c>
      <c r="E33" s="50" t="str">
        <f>_xlfn.XLOOKUP(A33,[1]分配表!A:A,[1]分配表!C:C)</f>
        <v>俞东旭</v>
      </c>
      <c r="F33" s="50" t="s">
        <v>44</v>
      </c>
      <c r="G33" s="50" t="s">
        <v>34</v>
      </c>
      <c r="H33" s="51">
        <v>0</v>
      </c>
      <c r="I33" s="51">
        <v>5</v>
      </c>
      <c r="J33" s="51">
        <v>41</v>
      </c>
      <c r="K33" s="51">
        <v>26</v>
      </c>
      <c r="L33" s="51">
        <v>10</v>
      </c>
      <c r="M33" s="51">
        <v>20</v>
      </c>
      <c r="N33" s="51">
        <v>1</v>
      </c>
      <c r="O33" s="51">
        <v>0</v>
      </c>
      <c r="P33" s="51">
        <v>0</v>
      </c>
      <c r="Q33" s="52">
        <f t="shared" si="0"/>
        <v>0</v>
      </c>
      <c r="R33" s="53">
        <v>0</v>
      </c>
      <c r="S33" s="54">
        <v>1100</v>
      </c>
      <c r="T33" s="54">
        <v>9460</v>
      </c>
      <c r="U33" s="54">
        <v>7215</v>
      </c>
      <c r="V33" s="54">
        <v>3000</v>
      </c>
      <c r="W33" s="54">
        <v>6000</v>
      </c>
      <c r="X33" s="54">
        <v>300</v>
      </c>
      <c r="Y33" s="55">
        <v>0</v>
      </c>
      <c r="Z33" s="56">
        <v>0</v>
      </c>
      <c r="AA33" s="54">
        <f t="shared" si="1"/>
        <v>0</v>
      </c>
      <c r="AB33" s="57">
        <v>0</v>
      </c>
      <c r="AC33" s="51">
        <v>1</v>
      </c>
      <c r="AD33" s="51">
        <v>1</v>
      </c>
      <c r="AE33" s="51">
        <v>0</v>
      </c>
      <c r="AF33" s="51">
        <v>0</v>
      </c>
      <c r="AG33" s="51">
        <v>0</v>
      </c>
      <c r="AH33" s="51">
        <v>1</v>
      </c>
      <c r="AI33" s="51">
        <v>1</v>
      </c>
      <c r="AJ33" s="51">
        <v>0</v>
      </c>
      <c r="AK33" s="58" t="s">
        <v>390</v>
      </c>
      <c r="AL33" s="59">
        <v>0</v>
      </c>
      <c r="AM33" s="59">
        <v>0.976190476190476</v>
      </c>
      <c r="AN33" s="59">
        <v>1</v>
      </c>
      <c r="AO33" s="59">
        <v>1</v>
      </c>
      <c r="AP33" s="59">
        <v>1</v>
      </c>
      <c r="AQ33" s="59">
        <v>0.9091</v>
      </c>
      <c r="AR33" s="59">
        <v>0</v>
      </c>
      <c r="AS33" s="59" t="s">
        <v>390</v>
      </c>
      <c r="AT33" s="60" t="s">
        <v>412</v>
      </c>
      <c r="AU33" s="61">
        <v>2</v>
      </c>
      <c r="AV33" s="61">
        <v>9</v>
      </c>
      <c r="AW33" s="61">
        <v>3</v>
      </c>
      <c r="AX33" s="61">
        <v>9</v>
      </c>
      <c r="AY33" s="61">
        <v>2</v>
      </c>
      <c r="AZ33" s="61">
        <v>8</v>
      </c>
      <c r="BA33" s="61">
        <v>15</v>
      </c>
      <c r="BB33" s="62">
        <v>0</v>
      </c>
      <c r="BC33" s="54" t="s">
        <v>412</v>
      </c>
      <c r="BD33" s="54" t="s">
        <v>391</v>
      </c>
      <c r="BE33" s="54" t="s">
        <v>391</v>
      </c>
      <c r="BF33" s="54" t="s">
        <v>391</v>
      </c>
      <c r="BG33" s="54" t="s">
        <v>391</v>
      </c>
      <c r="BH33" s="54" t="s">
        <v>391</v>
      </c>
      <c r="BI33" s="54" t="s">
        <v>391</v>
      </c>
      <c r="BJ33" s="54" t="s">
        <v>391</v>
      </c>
      <c r="BK33" s="54" t="s">
        <v>391</v>
      </c>
      <c r="BL33" s="53" t="s">
        <v>412</v>
      </c>
      <c r="BM33" s="54" t="s">
        <v>392</v>
      </c>
      <c r="BN33" s="54" t="s">
        <v>393</v>
      </c>
      <c r="BO33" s="54" t="s">
        <v>392</v>
      </c>
      <c r="BP33" s="54" t="s">
        <v>393</v>
      </c>
      <c r="BQ33" s="54" t="s">
        <v>392</v>
      </c>
      <c r="BR33" s="54" t="s">
        <v>392</v>
      </c>
      <c r="BS33" s="54" t="s">
        <v>393</v>
      </c>
      <c r="BT33" s="63" t="s">
        <v>392</v>
      </c>
      <c r="BU33" s="53" t="s">
        <v>412</v>
      </c>
      <c r="BV33" s="54" t="s">
        <v>392</v>
      </c>
      <c r="BW33" s="54" t="s">
        <v>392</v>
      </c>
      <c r="BX33" s="54" t="s">
        <v>392</v>
      </c>
      <c r="BY33" s="54" t="s">
        <v>392</v>
      </c>
      <c r="BZ33" s="54" t="s">
        <v>392</v>
      </c>
      <c r="CA33" s="54" t="s">
        <v>392</v>
      </c>
      <c r="CB33" s="54" t="s">
        <v>392</v>
      </c>
      <c r="CC33" s="54" t="s">
        <v>392</v>
      </c>
      <c r="CD33" s="57" t="s">
        <v>412</v>
      </c>
      <c r="CE33" s="51" t="s">
        <v>412</v>
      </c>
      <c r="CF33" s="51" t="s">
        <v>402</v>
      </c>
      <c r="CG33" s="51" t="s">
        <v>392</v>
      </c>
      <c r="CH33" s="51" t="s">
        <v>392</v>
      </c>
      <c r="CI33" s="51" t="s">
        <v>392</v>
      </c>
      <c r="CJ33" s="51" t="s">
        <v>392</v>
      </c>
      <c r="CK33" s="51" t="s">
        <v>392</v>
      </c>
      <c r="CL33" s="51" t="s">
        <v>402</v>
      </c>
      <c r="CM33" s="51" t="s">
        <v>394</v>
      </c>
      <c r="CN33" s="57" t="s">
        <v>412</v>
      </c>
      <c r="CO33" s="51" t="s">
        <v>412</v>
      </c>
      <c r="CP33" s="51" t="s">
        <v>396</v>
      </c>
      <c r="CQ33" s="51" t="s">
        <v>396</v>
      </c>
      <c r="CR33" s="51" t="s">
        <v>396</v>
      </c>
      <c r="CS33" s="51" t="s">
        <v>400</v>
      </c>
      <c r="CT33" s="51" t="s">
        <v>396</v>
      </c>
      <c r="CU33" s="51" t="s">
        <v>396</v>
      </c>
      <c r="CV33" s="51" t="s">
        <v>400</v>
      </c>
      <c r="CW33" s="57" t="s">
        <v>398</v>
      </c>
      <c r="CX33" s="51" t="s">
        <v>398</v>
      </c>
      <c r="CY33" s="51" t="s">
        <v>398</v>
      </c>
      <c r="CZ33" s="64" t="str">
        <f>IF(_xlfn.XLOOKUP(B33,[2]累计数据!$C$193:$C$245,[2]累计数据!$C$193:$C$245,"N")=B33,"Y","N")</f>
        <v>N</v>
      </c>
      <c r="DA33" s="58">
        <v>0.02</v>
      </c>
      <c r="DB33" s="59">
        <v>0.02</v>
      </c>
      <c r="DC33" s="59">
        <v>0.02</v>
      </c>
      <c r="DD33" s="65"/>
      <c r="DE33"/>
      <c r="DF33"/>
      <c r="DG33"/>
      <c r="DH33"/>
      <c r="DI33"/>
      <c r="DJ33" s="3"/>
    </row>
    <row r="34" customFormat="1" ht="22.5" customHeight="1" spans="1:114">
      <c r="A34" s="46">
        <v>12270</v>
      </c>
      <c r="B34" s="47" t="s">
        <v>425</v>
      </c>
      <c r="C34" s="48">
        <v>46097</v>
      </c>
      <c r="D34" s="49">
        <f>IF(_xlfn.XLOOKUP(A34,[1]分配表!J:J,[1]分配表!M:M)=0,"未出单",_xlfn.XLOOKUP(A34,[1]分配表!J:J,[1]分配表!M:M))</f>
        <v>46100</v>
      </c>
      <c r="E34" s="50" t="str">
        <f>_xlfn.XLOOKUP(A34,[1]分配表!A:A,[1]分配表!C:C)</f>
        <v>俞东旭</v>
      </c>
      <c r="F34" s="50" t="s">
        <v>44</v>
      </c>
      <c r="G34" s="50" t="s">
        <v>34</v>
      </c>
      <c r="H34" s="51">
        <v>0</v>
      </c>
      <c r="I34" s="51">
        <v>0</v>
      </c>
      <c r="J34" s="51">
        <v>7</v>
      </c>
      <c r="K34" s="51">
        <v>8</v>
      </c>
      <c r="L34" s="51">
        <v>1</v>
      </c>
      <c r="M34" s="51">
        <v>2</v>
      </c>
      <c r="N34" s="51">
        <v>0</v>
      </c>
      <c r="O34" s="51">
        <v>0</v>
      </c>
      <c r="P34" s="51">
        <v>1</v>
      </c>
      <c r="Q34" s="52">
        <f t="shared" si="0"/>
        <v>1</v>
      </c>
      <c r="R34" s="53">
        <v>0</v>
      </c>
      <c r="S34" s="54">
        <v>0</v>
      </c>
      <c r="T34" s="54">
        <v>1660</v>
      </c>
      <c r="U34" s="54">
        <v>2080</v>
      </c>
      <c r="V34" s="54">
        <v>270</v>
      </c>
      <c r="W34" s="54">
        <v>540</v>
      </c>
      <c r="X34" s="54">
        <v>0</v>
      </c>
      <c r="Y34" s="55">
        <v>0</v>
      </c>
      <c r="Z34" s="56">
        <v>270</v>
      </c>
      <c r="AA34" s="54">
        <f t="shared" si="1"/>
        <v>270</v>
      </c>
      <c r="AB34" s="57">
        <v>0</v>
      </c>
      <c r="AC34" s="51">
        <v>1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8" t="s">
        <v>390</v>
      </c>
      <c r="AL34" s="59">
        <v>0</v>
      </c>
      <c r="AM34" s="59">
        <v>1</v>
      </c>
      <c r="AN34" s="59">
        <v>1</v>
      </c>
      <c r="AO34" s="59">
        <v>1</v>
      </c>
      <c r="AP34" s="59">
        <v>1</v>
      </c>
      <c r="AQ34" s="59">
        <v>1</v>
      </c>
      <c r="AR34" s="59" t="s">
        <v>390</v>
      </c>
      <c r="AS34" s="59">
        <v>1</v>
      </c>
      <c r="AT34" s="60" t="s">
        <v>412</v>
      </c>
      <c r="AU34" s="61">
        <v>2</v>
      </c>
      <c r="AV34" s="61">
        <v>9</v>
      </c>
      <c r="AW34" s="61">
        <v>1</v>
      </c>
      <c r="AX34" s="61">
        <v>7</v>
      </c>
      <c r="AY34" s="61">
        <v>5</v>
      </c>
      <c r="AZ34" s="61">
        <v>11</v>
      </c>
      <c r="BA34" s="61">
        <v>18</v>
      </c>
      <c r="BB34" s="62">
        <v>25</v>
      </c>
      <c r="BC34" s="54" t="s">
        <v>412</v>
      </c>
      <c r="BD34" s="54" t="s">
        <v>120</v>
      </c>
      <c r="BE34" s="54" t="s">
        <v>391</v>
      </c>
      <c r="BF34" s="54" t="s">
        <v>391</v>
      </c>
      <c r="BG34" s="54" t="s">
        <v>391</v>
      </c>
      <c r="BH34" s="54" t="s">
        <v>391</v>
      </c>
      <c r="BI34" s="54" t="s">
        <v>391</v>
      </c>
      <c r="BJ34" s="54" t="s">
        <v>391</v>
      </c>
      <c r="BK34" s="54" t="s">
        <v>391</v>
      </c>
      <c r="BL34" s="53" t="s">
        <v>412</v>
      </c>
      <c r="BM34" s="54" t="s">
        <v>392</v>
      </c>
      <c r="BN34" s="54" t="s">
        <v>393</v>
      </c>
      <c r="BO34" s="54" t="s">
        <v>392</v>
      </c>
      <c r="BP34" s="54" t="s">
        <v>392</v>
      </c>
      <c r="BQ34" s="54" t="s">
        <v>392</v>
      </c>
      <c r="BR34" s="54" t="s">
        <v>392</v>
      </c>
      <c r="BS34" s="54" t="s">
        <v>392</v>
      </c>
      <c r="BT34" s="63" t="s">
        <v>392</v>
      </c>
      <c r="BU34" s="53" t="s">
        <v>412</v>
      </c>
      <c r="BV34" s="54" t="s">
        <v>392</v>
      </c>
      <c r="BW34" s="54" t="s">
        <v>392</v>
      </c>
      <c r="BX34" s="54" t="s">
        <v>392</v>
      </c>
      <c r="BY34" s="54" t="s">
        <v>392</v>
      </c>
      <c r="BZ34" s="54" t="s">
        <v>392</v>
      </c>
      <c r="CA34" s="54" t="s">
        <v>392</v>
      </c>
      <c r="CB34" s="54" t="s">
        <v>392</v>
      </c>
      <c r="CC34" s="54" t="s">
        <v>392</v>
      </c>
      <c r="CD34" s="57" t="s">
        <v>412</v>
      </c>
      <c r="CE34" s="51" t="s">
        <v>412</v>
      </c>
      <c r="CF34" s="51" t="s">
        <v>402</v>
      </c>
      <c r="CG34" s="51" t="s">
        <v>392</v>
      </c>
      <c r="CH34" s="51" t="s">
        <v>392</v>
      </c>
      <c r="CI34" s="51" t="s">
        <v>392</v>
      </c>
      <c r="CJ34" s="51" t="s">
        <v>392</v>
      </c>
      <c r="CK34" s="51" t="s">
        <v>392</v>
      </c>
      <c r="CL34" s="51" t="s">
        <v>406</v>
      </c>
      <c r="CM34" s="51" t="s">
        <v>392</v>
      </c>
      <c r="CN34" s="57" t="s">
        <v>412</v>
      </c>
      <c r="CO34" s="51" t="s">
        <v>412</v>
      </c>
      <c r="CP34" s="51" t="s">
        <v>396</v>
      </c>
      <c r="CQ34" s="51" t="s">
        <v>396</v>
      </c>
      <c r="CR34" s="51" t="s">
        <v>396</v>
      </c>
      <c r="CS34" s="51" t="s">
        <v>396</v>
      </c>
      <c r="CT34" s="51" t="s">
        <v>396</v>
      </c>
      <c r="CU34" s="51" t="s">
        <v>396</v>
      </c>
      <c r="CV34" s="51" t="s">
        <v>396</v>
      </c>
      <c r="CW34" s="57" t="s">
        <v>398</v>
      </c>
      <c r="CX34" s="51" t="s">
        <v>398</v>
      </c>
      <c r="CY34" s="51" t="s">
        <v>398</v>
      </c>
      <c r="CZ34" s="64" t="str">
        <f>IF(_xlfn.XLOOKUP(B34,[2]累计数据!$C$193:$C$245,[2]累计数据!$C$193:$C$245,"N")=B34,"Y","N")</f>
        <v>N</v>
      </c>
      <c r="DA34" s="58">
        <v>0.02</v>
      </c>
      <c r="DB34" s="59">
        <v>0.02</v>
      </c>
      <c r="DC34" s="59">
        <v>0.02</v>
      </c>
      <c r="DD34" s="65"/>
      <c r="DE34"/>
      <c r="DF34"/>
      <c r="DG34"/>
      <c r="DH34"/>
      <c r="DI34"/>
      <c r="DJ34" s="3"/>
    </row>
    <row r="35" customFormat="1" ht="22.5" customHeight="1" spans="1:114">
      <c r="A35" s="46">
        <v>12318</v>
      </c>
      <c r="B35" s="47" t="s">
        <v>122</v>
      </c>
      <c r="C35" s="48">
        <v>46097</v>
      </c>
      <c r="D35" s="49">
        <f>IF(_xlfn.XLOOKUP(A35,[1]分配表!J:J,[1]分配表!M:M)=0,"未出单",_xlfn.XLOOKUP(A35,[1]分配表!J:J,[1]分配表!M:M))</f>
        <v>46103</v>
      </c>
      <c r="E35" s="50" t="str">
        <f>_xlfn.XLOOKUP(A35,[1]分配表!A:A,[1]分配表!C:C)</f>
        <v>胡煜星</v>
      </c>
      <c r="F35" s="50" t="s">
        <v>44</v>
      </c>
      <c r="G35" s="50" t="s">
        <v>34</v>
      </c>
      <c r="H35" s="51">
        <v>0</v>
      </c>
      <c r="I35" s="51">
        <v>0</v>
      </c>
      <c r="J35" s="51">
        <v>1</v>
      </c>
      <c r="K35" s="51">
        <v>1</v>
      </c>
      <c r="L35" s="51">
        <v>0</v>
      </c>
      <c r="M35" s="51">
        <v>0</v>
      </c>
      <c r="N35" s="51">
        <v>0</v>
      </c>
      <c r="O35" s="51">
        <v>0</v>
      </c>
      <c r="P35" s="51">
        <v>1</v>
      </c>
      <c r="Q35" s="52">
        <f t="shared" si="0"/>
        <v>1</v>
      </c>
      <c r="R35" s="53">
        <v>0</v>
      </c>
      <c r="S35" s="54">
        <v>0</v>
      </c>
      <c r="T35" s="54">
        <v>420</v>
      </c>
      <c r="U35" s="54">
        <v>460</v>
      </c>
      <c r="V35" s="54">
        <v>0</v>
      </c>
      <c r="W35" s="54">
        <v>0</v>
      </c>
      <c r="X35" s="54">
        <v>0</v>
      </c>
      <c r="Y35" s="55">
        <v>0</v>
      </c>
      <c r="Z35" s="56">
        <v>460</v>
      </c>
      <c r="AA35" s="54">
        <f t="shared" si="1"/>
        <v>460</v>
      </c>
      <c r="AB35" s="57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8" t="s">
        <v>390</v>
      </c>
      <c r="AL35" s="59" t="s">
        <v>390</v>
      </c>
      <c r="AM35" s="59">
        <v>1</v>
      </c>
      <c r="AN35" s="59">
        <v>1</v>
      </c>
      <c r="AO35" s="59">
        <v>0</v>
      </c>
      <c r="AP35" s="59">
        <v>0</v>
      </c>
      <c r="AQ35" s="59" t="s">
        <v>390</v>
      </c>
      <c r="AR35" s="59" t="s">
        <v>390</v>
      </c>
      <c r="AS35" s="59">
        <v>1</v>
      </c>
      <c r="AT35" s="60" t="s">
        <v>412</v>
      </c>
      <c r="AU35" s="61">
        <v>1</v>
      </c>
      <c r="AV35" s="61">
        <v>8</v>
      </c>
      <c r="AW35" s="61">
        <v>1</v>
      </c>
      <c r="AX35" s="61">
        <v>7</v>
      </c>
      <c r="AY35" s="61">
        <v>5</v>
      </c>
      <c r="AZ35" s="61">
        <v>6</v>
      </c>
      <c r="BA35" s="61">
        <v>13</v>
      </c>
      <c r="BB35" s="62">
        <v>20</v>
      </c>
      <c r="BC35" s="54" t="s">
        <v>412</v>
      </c>
      <c r="BD35" s="54" t="s">
        <v>120</v>
      </c>
      <c r="BE35" s="54" t="s">
        <v>391</v>
      </c>
      <c r="BF35" s="54" t="s">
        <v>391</v>
      </c>
      <c r="BG35" s="54" t="s">
        <v>391</v>
      </c>
      <c r="BH35" s="54" t="s">
        <v>391</v>
      </c>
      <c r="BI35" s="54" t="s">
        <v>391</v>
      </c>
      <c r="BJ35" s="54" t="s">
        <v>391</v>
      </c>
      <c r="BK35" s="54" t="s">
        <v>391</v>
      </c>
      <c r="BL35" s="53" t="s">
        <v>412</v>
      </c>
      <c r="BM35" s="54" t="s">
        <v>392</v>
      </c>
      <c r="BN35" s="54" t="s">
        <v>393</v>
      </c>
      <c r="BO35" s="54" t="s">
        <v>392</v>
      </c>
      <c r="BP35" s="54" t="s">
        <v>392</v>
      </c>
      <c r="BQ35" s="54" t="s">
        <v>392</v>
      </c>
      <c r="BR35" s="54" t="s">
        <v>392</v>
      </c>
      <c r="BS35" s="54" t="s">
        <v>392</v>
      </c>
      <c r="BT35" s="63" t="s">
        <v>392</v>
      </c>
      <c r="BU35" s="53" t="s">
        <v>412</v>
      </c>
      <c r="BV35" s="54" t="s">
        <v>392</v>
      </c>
      <c r="BW35" s="54" t="s">
        <v>392</v>
      </c>
      <c r="BX35" s="54" t="s">
        <v>392</v>
      </c>
      <c r="BY35" s="54" t="s">
        <v>392</v>
      </c>
      <c r="BZ35" s="54" t="s">
        <v>392</v>
      </c>
      <c r="CA35" s="54" t="s">
        <v>392</v>
      </c>
      <c r="CB35" s="54" t="s">
        <v>392</v>
      </c>
      <c r="CC35" s="54" t="s">
        <v>392</v>
      </c>
      <c r="CD35" s="57" t="s">
        <v>412</v>
      </c>
      <c r="CE35" s="51" t="s">
        <v>412</v>
      </c>
      <c r="CF35" s="51" t="s">
        <v>394</v>
      </c>
      <c r="CG35" s="51" t="s">
        <v>392</v>
      </c>
      <c r="CH35" s="51" t="s">
        <v>392</v>
      </c>
      <c r="CI35" s="51" t="s">
        <v>394</v>
      </c>
      <c r="CJ35" s="51" t="s">
        <v>394</v>
      </c>
      <c r="CK35" s="51" t="s">
        <v>394</v>
      </c>
      <c r="CL35" s="51" t="s">
        <v>394</v>
      </c>
      <c r="CM35" s="51" t="s">
        <v>392</v>
      </c>
      <c r="CN35" s="57"/>
      <c r="CO35" s="51"/>
      <c r="CP35" s="51" t="s">
        <v>396</v>
      </c>
      <c r="CQ35" s="51" t="s">
        <v>396</v>
      </c>
      <c r="CR35" s="51" t="s">
        <v>396</v>
      </c>
      <c r="CS35" s="51" t="s">
        <v>396</v>
      </c>
      <c r="CT35" s="51" t="s">
        <v>396</v>
      </c>
      <c r="CU35" s="51" t="s">
        <v>396</v>
      </c>
      <c r="CV35" s="51" t="s">
        <v>396</v>
      </c>
      <c r="CW35" s="57" t="s">
        <v>391</v>
      </c>
      <c r="CX35" s="51" t="s">
        <v>391</v>
      </c>
      <c r="CY35" s="51" t="s">
        <v>391</v>
      </c>
      <c r="CZ35" s="64" t="str">
        <f>IF(_xlfn.XLOOKUP(B35,[2]累计数据!$C$193:$C$245,[2]累计数据!$C$193:$C$245,"N")=B35,"Y","N")</f>
        <v>Y</v>
      </c>
      <c r="DA35" s="58">
        <v>0.02</v>
      </c>
      <c r="DB35" s="59">
        <v>0</v>
      </c>
      <c r="DC35" s="59">
        <v>0</v>
      </c>
      <c r="DD35" s="65"/>
      <c r="DE35"/>
      <c r="DF35"/>
      <c r="DG35"/>
      <c r="DH35"/>
      <c r="DI35"/>
      <c r="DJ35" s="3"/>
    </row>
    <row r="36" customFormat="1" ht="22.5" customHeight="1" spans="1:114">
      <c r="A36" s="46">
        <v>12320</v>
      </c>
      <c r="B36" s="47" t="s">
        <v>426</v>
      </c>
      <c r="C36" s="48">
        <v>46097</v>
      </c>
      <c r="D36" s="49">
        <f>IF(_xlfn.XLOOKUP(A36,[1]分配表!J:J,[1]分配表!M:M)=0,"未出单",_xlfn.XLOOKUP(A36,[1]分配表!J:J,[1]分配表!M:M))</f>
        <v>46131</v>
      </c>
      <c r="E36" s="50" t="str">
        <f>_xlfn.XLOOKUP(A36,[1]分配表!A:A,[1]分配表!C:C)</f>
        <v>朱培源</v>
      </c>
      <c r="F36" s="50" t="s">
        <v>97</v>
      </c>
      <c r="G36" s="50" t="s">
        <v>34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1</v>
      </c>
      <c r="O36" s="51">
        <v>0</v>
      </c>
      <c r="P36" s="51">
        <v>1</v>
      </c>
      <c r="Q36" s="52">
        <f t="shared" si="0"/>
        <v>1</v>
      </c>
      <c r="R36" s="53">
        <v>0</v>
      </c>
      <c r="S36" s="54">
        <v>0</v>
      </c>
      <c r="T36" s="54">
        <v>0</v>
      </c>
      <c r="U36" s="54">
        <v>0</v>
      </c>
      <c r="V36" s="54">
        <v>0</v>
      </c>
      <c r="W36" s="54">
        <v>0</v>
      </c>
      <c r="X36" s="54">
        <v>75</v>
      </c>
      <c r="Y36" s="55">
        <v>0</v>
      </c>
      <c r="Z36" s="56">
        <v>75</v>
      </c>
      <c r="AA36" s="54">
        <f t="shared" si="1"/>
        <v>75</v>
      </c>
      <c r="AB36" s="57">
        <v>0</v>
      </c>
      <c r="AC36" s="51">
        <v>1</v>
      </c>
      <c r="AD36" s="51">
        <v>0</v>
      </c>
      <c r="AE36" s="51">
        <v>1</v>
      </c>
      <c r="AF36" s="51">
        <v>0</v>
      </c>
      <c r="AG36" s="51">
        <v>0</v>
      </c>
      <c r="AH36" s="51">
        <v>0</v>
      </c>
      <c r="AI36" s="51">
        <v>0</v>
      </c>
      <c r="AJ36" s="51">
        <v>1</v>
      </c>
      <c r="AK36" s="58" t="s">
        <v>390</v>
      </c>
      <c r="AL36" s="59">
        <v>0</v>
      </c>
      <c r="AM36" s="59" t="s">
        <v>390</v>
      </c>
      <c r="AN36" s="59">
        <v>0</v>
      </c>
      <c r="AO36" s="59">
        <v>0</v>
      </c>
      <c r="AP36" s="59">
        <v>0</v>
      </c>
      <c r="AQ36" s="59">
        <v>1</v>
      </c>
      <c r="AR36" s="59" t="s">
        <v>390</v>
      </c>
      <c r="AS36" s="59">
        <v>0.5</v>
      </c>
      <c r="AT36" s="60" t="s">
        <v>412</v>
      </c>
      <c r="AU36" s="61">
        <v>2</v>
      </c>
      <c r="AV36" s="61">
        <v>2</v>
      </c>
      <c r="AW36" s="61">
        <v>1</v>
      </c>
      <c r="AX36" s="61">
        <v>5</v>
      </c>
      <c r="AY36" s="61">
        <v>6</v>
      </c>
      <c r="AZ36" s="61">
        <v>2</v>
      </c>
      <c r="BA36" s="61">
        <v>9</v>
      </c>
      <c r="BB36" s="62">
        <v>16</v>
      </c>
      <c r="BC36" s="54" t="s">
        <v>412</v>
      </c>
      <c r="BD36" s="54" t="s">
        <v>120</v>
      </c>
      <c r="BE36" s="54" t="s">
        <v>120</v>
      </c>
      <c r="BF36" s="54" t="s">
        <v>120</v>
      </c>
      <c r="BG36" s="54" t="s">
        <v>120</v>
      </c>
      <c r="BH36" s="54" t="s">
        <v>120</v>
      </c>
      <c r="BI36" s="54" t="s">
        <v>398</v>
      </c>
      <c r="BJ36" s="54" t="s">
        <v>398</v>
      </c>
      <c r="BK36" s="54" t="s">
        <v>398</v>
      </c>
      <c r="BL36" s="53" t="s">
        <v>412</v>
      </c>
      <c r="BM36" s="54" t="s">
        <v>392</v>
      </c>
      <c r="BN36" s="54" t="s">
        <v>392</v>
      </c>
      <c r="BO36" s="54" t="s">
        <v>392</v>
      </c>
      <c r="BP36" s="54" t="s">
        <v>392</v>
      </c>
      <c r="BQ36" s="54" t="s">
        <v>392</v>
      </c>
      <c r="BR36" s="54" t="s">
        <v>392</v>
      </c>
      <c r="BS36" s="54" t="s">
        <v>392</v>
      </c>
      <c r="BT36" s="63" t="s">
        <v>393</v>
      </c>
      <c r="BU36" s="53" t="s">
        <v>412</v>
      </c>
      <c r="BV36" s="54" t="s">
        <v>392</v>
      </c>
      <c r="BW36" s="54" t="s">
        <v>392</v>
      </c>
      <c r="BX36" s="54" t="s">
        <v>392</v>
      </c>
      <c r="BY36" s="54" t="s">
        <v>392</v>
      </c>
      <c r="BZ36" s="54" t="s">
        <v>392</v>
      </c>
      <c r="CA36" s="54" t="s">
        <v>392</v>
      </c>
      <c r="CB36" s="54" t="s">
        <v>392</v>
      </c>
      <c r="CC36" s="54" t="s">
        <v>392</v>
      </c>
      <c r="CD36" s="57" t="s">
        <v>412</v>
      </c>
      <c r="CE36" s="51" t="s">
        <v>412</v>
      </c>
      <c r="CF36" s="51" t="s">
        <v>402</v>
      </c>
      <c r="CG36" s="51" t="s">
        <v>402</v>
      </c>
      <c r="CH36" s="51" t="s">
        <v>402</v>
      </c>
      <c r="CI36" s="51" t="s">
        <v>394</v>
      </c>
      <c r="CJ36" s="51" t="s">
        <v>394</v>
      </c>
      <c r="CK36" s="51" t="s">
        <v>392</v>
      </c>
      <c r="CL36" s="51" t="s">
        <v>394</v>
      </c>
      <c r="CM36" s="51" t="s">
        <v>402</v>
      </c>
      <c r="CN36" s="57" t="s">
        <v>412</v>
      </c>
      <c r="CO36" s="51" t="s">
        <v>412</v>
      </c>
      <c r="CP36" s="51" t="s">
        <v>396</v>
      </c>
      <c r="CQ36" s="51" t="s">
        <v>397</v>
      </c>
      <c r="CR36" s="51" t="s">
        <v>400</v>
      </c>
      <c r="CS36" s="51" t="s">
        <v>400</v>
      </c>
      <c r="CT36" s="51" t="s">
        <v>400</v>
      </c>
      <c r="CU36" s="51" t="s">
        <v>396</v>
      </c>
      <c r="CV36" s="51" t="s">
        <v>396</v>
      </c>
      <c r="CW36" s="57" t="s">
        <v>398</v>
      </c>
      <c r="CX36" s="51" t="s">
        <v>398</v>
      </c>
      <c r="CY36" s="51" t="s">
        <v>398</v>
      </c>
      <c r="CZ36" s="64" t="str">
        <f>IF(_xlfn.XLOOKUP(B36,[2]累计数据!$C$193:$C$245,[2]累计数据!$C$193:$C$245,"N")=B36,"Y","N")</f>
        <v>N</v>
      </c>
      <c r="DA36" s="58">
        <v>0.04</v>
      </c>
      <c r="DB36" s="59">
        <v>0.02</v>
      </c>
      <c r="DC36" s="59">
        <v>0.02</v>
      </c>
      <c r="DD36" s="65"/>
      <c r="DE36"/>
      <c r="DF36"/>
      <c r="DG36"/>
      <c r="DH36"/>
      <c r="DI36"/>
      <c r="DJ36" s="3"/>
    </row>
    <row r="37" customFormat="1" ht="22.5" customHeight="1" spans="1:114">
      <c r="A37" s="46">
        <v>12305</v>
      </c>
      <c r="B37" s="47" t="s">
        <v>115</v>
      </c>
      <c r="C37" s="48">
        <v>46097</v>
      </c>
      <c r="D37" s="49">
        <f>IF(_xlfn.XLOOKUP(A37,[1]分配表!J:J,[1]分配表!M:M)=0,"未出单",_xlfn.XLOOKUP(A37,[1]分配表!J:J,[1]分配表!M:M))</f>
        <v>46100</v>
      </c>
      <c r="E37" s="50" t="str">
        <f>_xlfn.XLOOKUP(A37,[1]分配表!A:A,[1]分配表!C:C)</f>
        <v>俞东旭</v>
      </c>
      <c r="F37" s="50" t="s">
        <v>44</v>
      </c>
      <c r="G37" s="50" t="s">
        <v>34</v>
      </c>
      <c r="H37" s="51">
        <v>0</v>
      </c>
      <c r="I37" s="51">
        <v>0</v>
      </c>
      <c r="J37" s="51">
        <v>5</v>
      </c>
      <c r="K37" s="51">
        <v>2</v>
      </c>
      <c r="L37" s="51">
        <v>3</v>
      </c>
      <c r="M37" s="51">
        <v>3</v>
      </c>
      <c r="N37" s="51">
        <v>3</v>
      </c>
      <c r="O37" s="51">
        <v>1</v>
      </c>
      <c r="P37" s="51">
        <v>3</v>
      </c>
      <c r="Q37" s="52">
        <f t="shared" si="0"/>
        <v>2</v>
      </c>
      <c r="R37" s="53">
        <v>0</v>
      </c>
      <c r="S37" s="54">
        <v>0</v>
      </c>
      <c r="T37" s="54">
        <v>2750</v>
      </c>
      <c r="U37" s="54">
        <v>1100</v>
      </c>
      <c r="V37" s="54">
        <v>1755</v>
      </c>
      <c r="W37" s="54">
        <v>1755</v>
      </c>
      <c r="X37" s="54">
        <v>1760</v>
      </c>
      <c r="Y37" s="55">
        <v>590</v>
      </c>
      <c r="Z37" s="56">
        <v>1770</v>
      </c>
      <c r="AA37" s="54">
        <f t="shared" si="1"/>
        <v>1180</v>
      </c>
      <c r="AB37" s="57">
        <v>0</v>
      </c>
      <c r="AC37" s="51">
        <v>0</v>
      </c>
      <c r="AD37" s="51">
        <v>1</v>
      </c>
      <c r="AE37" s="51">
        <v>0</v>
      </c>
      <c r="AF37" s="51">
        <v>0</v>
      </c>
      <c r="AG37" s="51">
        <v>0</v>
      </c>
      <c r="AH37" s="51">
        <v>1</v>
      </c>
      <c r="AI37" s="51">
        <v>2</v>
      </c>
      <c r="AJ37" s="51">
        <v>3</v>
      </c>
      <c r="AK37" s="58" t="s">
        <v>390</v>
      </c>
      <c r="AL37" s="59" t="s">
        <v>390</v>
      </c>
      <c r="AM37" s="59">
        <v>0.833333333333333</v>
      </c>
      <c r="AN37" s="59">
        <v>1</v>
      </c>
      <c r="AO37" s="59">
        <v>1</v>
      </c>
      <c r="AP37" s="59">
        <v>1</v>
      </c>
      <c r="AQ37" s="59">
        <v>0.8</v>
      </c>
      <c r="AR37" s="59">
        <v>0.5</v>
      </c>
      <c r="AS37" s="59">
        <v>0.4</v>
      </c>
      <c r="AT37" s="60" t="s">
        <v>412</v>
      </c>
      <c r="AU37" s="61">
        <v>1</v>
      </c>
      <c r="AV37" s="61">
        <v>8</v>
      </c>
      <c r="AW37" s="61">
        <v>7</v>
      </c>
      <c r="AX37" s="61">
        <v>13</v>
      </c>
      <c r="AY37" s="61">
        <v>1</v>
      </c>
      <c r="AZ37" s="61">
        <v>1</v>
      </c>
      <c r="BA37" s="61">
        <v>8</v>
      </c>
      <c r="BB37" s="62">
        <v>0</v>
      </c>
      <c r="BC37" s="54" t="s">
        <v>412</v>
      </c>
      <c r="BD37" s="54" t="s">
        <v>120</v>
      </c>
      <c r="BE37" s="54" t="s">
        <v>391</v>
      </c>
      <c r="BF37" s="54" t="s">
        <v>391</v>
      </c>
      <c r="BG37" s="54" t="s">
        <v>391</v>
      </c>
      <c r="BH37" s="54" t="s">
        <v>391</v>
      </c>
      <c r="BI37" s="54" t="s">
        <v>391</v>
      </c>
      <c r="BJ37" s="54" t="s">
        <v>391</v>
      </c>
      <c r="BK37" s="54" t="s">
        <v>391</v>
      </c>
      <c r="BL37" s="53" t="s">
        <v>412</v>
      </c>
      <c r="BM37" s="54" t="s">
        <v>392</v>
      </c>
      <c r="BN37" s="54" t="s">
        <v>393</v>
      </c>
      <c r="BO37" s="54" t="s">
        <v>392</v>
      </c>
      <c r="BP37" s="54" t="s">
        <v>393</v>
      </c>
      <c r="BQ37" s="54" t="s">
        <v>392</v>
      </c>
      <c r="BR37" s="54" t="s">
        <v>392</v>
      </c>
      <c r="BS37" s="54" t="s">
        <v>393</v>
      </c>
      <c r="BT37" s="63" t="s">
        <v>392</v>
      </c>
      <c r="BU37" s="53" t="s">
        <v>412</v>
      </c>
      <c r="BV37" s="54" t="s">
        <v>392</v>
      </c>
      <c r="BW37" s="54" t="s">
        <v>392</v>
      </c>
      <c r="BX37" s="54" t="s">
        <v>392</v>
      </c>
      <c r="BY37" s="54" t="s">
        <v>392</v>
      </c>
      <c r="BZ37" s="54" t="s">
        <v>392</v>
      </c>
      <c r="CA37" s="54" t="s">
        <v>392</v>
      </c>
      <c r="CB37" s="54" t="s">
        <v>392</v>
      </c>
      <c r="CC37" s="54" t="s">
        <v>392</v>
      </c>
      <c r="CD37" s="57" t="s">
        <v>412</v>
      </c>
      <c r="CE37" s="51" t="s">
        <v>412</v>
      </c>
      <c r="CF37" s="51" t="s">
        <v>394</v>
      </c>
      <c r="CG37" s="51" t="s">
        <v>402</v>
      </c>
      <c r="CH37" s="51" t="s">
        <v>392</v>
      </c>
      <c r="CI37" s="51" t="s">
        <v>392</v>
      </c>
      <c r="CJ37" s="51" t="s">
        <v>392</v>
      </c>
      <c r="CK37" s="51" t="s">
        <v>392</v>
      </c>
      <c r="CL37" s="51" t="s">
        <v>402</v>
      </c>
      <c r="CM37" s="51" t="s">
        <v>402</v>
      </c>
      <c r="CN37" s="57"/>
      <c r="CO37" s="51"/>
      <c r="CP37" s="51" t="s">
        <v>396</v>
      </c>
      <c r="CQ37" s="51" t="s">
        <v>396</v>
      </c>
      <c r="CR37" s="51" t="s">
        <v>396</v>
      </c>
      <c r="CS37" s="51" t="s">
        <v>400</v>
      </c>
      <c r="CT37" s="51" t="s">
        <v>396</v>
      </c>
      <c r="CU37" s="51" t="s">
        <v>396</v>
      </c>
      <c r="CV37" s="51" t="s">
        <v>400</v>
      </c>
      <c r="CW37" s="57" t="s">
        <v>391</v>
      </c>
      <c r="CX37" s="51" t="s">
        <v>398</v>
      </c>
      <c r="CY37" s="51" t="s">
        <v>391</v>
      </c>
      <c r="CZ37" s="64" t="str">
        <f>IF(_xlfn.XLOOKUP(B37,[2]累计数据!$C$193:$C$245,[2]累计数据!$C$193:$C$245,"N")=B37,"Y","N")</f>
        <v>N</v>
      </c>
      <c r="DA37" s="58">
        <v>0.02</v>
      </c>
      <c r="DB37" s="59">
        <v>0.02</v>
      </c>
      <c r="DC37" s="59">
        <v>0.02</v>
      </c>
      <c r="DD37" s="65"/>
      <c r="DE37"/>
      <c r="DF37"/>
      <c r="DG37"/>
      <c r="DH37"/>
      <c r="DI37"/>
      <c r="DJ37" s="3"/>
    </row>
    <row r="38" customFormat="1" ht="22.5" customHeight="1" spans="1:114">
      <c r="A38" s="46">
        <v>12321</v>
      </c>
      <c r="B38" s="47" t="s">
        <v>427</v>
      </c>
      <c r="C38" s="48">
        <v>46097</v>
      </c>
      <c r="D38" s="49">
        <f>IF(_xlfn.XLOOKUP(A38,[1]分配表!J:J,[1]分配表!M:M)=0,"未出单",_xlfn.XLOOKUP(A38,[1]分配表!J:J,[1]分配表!M:M))</f>
        <v>46120</v>
      </c>
      <c r="E38" s="50" t="str">
        <f>_xlfn.XLOOKUP(A38,[1]分配表!A:A,[1]分配表!C:C)</f>
        <v>俞东旭</v>
      </c>
      <c r="F38" s="50" t="s">
        <v>44</v>
      </c>
      <c r="G38" s="50" t="s">
        <v>34</v>
      </c>
      <c r="H38" s="51">
        <v>0</v>
      </c>
      <c r="I38" s="51">
        <v>0</v>
      </c>
      <c r="J38" s="51">
        <v>0</v>
      </c>
      <c r="K38" s="51">
        <v>0</v>
      </c>
      <c r="L38" s="51">
        <v>1</v>
      </c>
      <c r="M38" s="51">
        <v>1</v>
      </c>
      <c r="N38" s="51">
        <v>5</v>
      </c>
      <c r="O38" s="51">
        <v>3</v>
      </c>
      <c r="P38" s="51">
        <v>4</v>
      </c>
      <c r="Q38" s="52">
        <f t="shared" si="0"/>
        <v>1</v>
      </c>
      <c r="R38" s="53">
        <v>0</v>
      </c>
      <c r="S38" s="54">
        <v>0</v>
      </c>
      <c r="T38" s="54">
        <v>0</v>
      </c>
      <c r="U38" s="54">
        <v>0</v>
      </c>
      <c r="V38" s="54">
        <v>35.9</v>
      </c>
      <c r="W38" s="54">
        <v>35.9</v>
      </c>
      <c r="X38" s="54">
        <v>179.5</v>
      </c>
      <c r="Y38" s="55">
        <v>107.7</v>
      </c>
      <c r="Z38" s="56">
        <v>143.6</v>
      </c>
      <c r="AA38" s="54">
        <f t="shared" si="1"/>
        <v>35.9</v>
      </c>
      <c r="AB38" s="57">
        <v>0</v>
      </c>
      <c r="AC38" s="51">
        <v>1</v>
      </c>
      <c r="AD38" s="51">
        <v>4</v>
      </c>
      <c r="AE38" s="51">
        <v>10</v>
      </c>
      <c r="AF38" s="51">
        <v>7</v>
      </c>
      <c r="AG38" s="51">
        <v>10</v>
      </c>
      <c r="AH38" s="51">
        <v>6</v>
      </c>
      <c r="AI38" s="51">
        <v>2</v>
      </c>
      <c r="AJ38" s="51">
        <v>3</v>
      </c>
      <c r="AK38" s="58" t="s">
        <v>390</v>
      </c>
      <c r="AL38" s="59">
        <v>0</v>
      </c>
      <c r="AM38" s="59">
        <v>0</v>
      </c>
      <c r="AN38" s="59">
        <v>0</v>
      </c>
      <c r="AO38" s="59">
        <v>0.125</v>
      </c>
      <c r="AP38" s="59">
        <v>0.0909090909090909</v>
      </c>
      <c r="AQ38" s="59">
        <v>0.5</v>
      </c>
      <c r="AR38" s="59">
        <v>0.5</v>
      </c>
      <c r="AS38" s="59">
        <v>0.5</v>
      </c>
      <c r="AT38" s="60" t="s">
        <v>412</v>
      </c>
      <c r="AU38" s="61">
        <v>1</v>
      </c>
      <c r="AV38" s="61">
        <v>8</v>
      </c>
      <c r="AW38" s="61">
        <v>1</v>
      </c>
      <c r="AX38" s="61">
        <v>1</v>
      </c>
      <c r="AY38" s="61">
        <v>2</v>
      </c>
      <c r="AZ38" s="61">
        <v>2</v>
      </c>
      <c r="BA38" s="61">
        <v>1</v>
      </c>
      <c r="BB38" s="62">
        <v>1</v>
      </c>
      <c r="BC38" s="54" t="s">
        <v>412</v>
      </c>
      <c r="BD38" s="54" t="s">
        <v>120</v>
      </c>
      <c r="BE38" s="54" t="s">
        <v>120</v>
      </c>
      <c r="BF38" s="54" t="s">
        <v>120</v>
      </c>
      <c r="BG38" s="54" t="s">
        <v>120</v>
      </c>
      <c r="BH38" s="54" t="s">
        <v>398</v>
      </c>
      <c r="BI38" s="54" t="s">
        <v>398</v>
      </c>
      <c r="BJ38" s="54" t="s">
        <v>398</v>
      </c>
      <c r="BK38" s="54" t="s">
        <v>398</v>
      </c>
      <c r="BL38" s="53" t="s">
        <v>412</v>
      </c>
      <c r="BM38" s="54" t="s">
        <v>392</v>
      </c>
      <c r="BN38" s="54" t="s">
        <v>393</v>
      </c>
      <c r="BO38" s="54" t="s">
        <v>392</v>
      </c>
      <c r="BP38" s="54" t="s">
        <v>392</v>
      </c>
      <c r="BQ38" s="54" t="s">
        <v>392</v>
      </c>
      <c r="BR38" s="54" t="s">
        <v>392</v>
      </c>
      <c r="BS38" s="54" t="s">
        <v>392</v>
      </c>
      <c r="BT38" s="63" t="s">
        <v>392</v>
      </c>
      <c r="BU38" s="53" t="s">
        <v>412</v>
      </c>
      <c r="BV38" s="54" t="s">
        <v>392</v>
      </c>
      <c r="BW38" s="54" t="s">
        <v>392</v>
      </c>
      <c r="BX38" s="54" t="s">
        <v>392</v>
      </c>
      <c r="BY38" s="54" t="s">
        <v>392</v>
      </c>
      <c r="BZ38" s="54" t="s">
        <v>392</v>
      </c>
      <c r="CA38" s="54" t="s">
        <v>392</v>
      </c>
      <c r="CB38" s="54" t="s">
        <v>392</v>
      </c>
      <c r="CC38" s="54" t="s">
        <v>392</v>
      </c>
      <c r="CD38" s="57" t="s">
        <v>412</v>
      </c>
      <c r="CE38" s="51" t="s">
        <v>412</v>
      </c>
      <c r="CF38" s="51" t="s">
        <v>407</v>
      </c>
      <c r="CG38" s="51" t="s">
        <v>402</v>
      </c>
      <c r="CH38" s="51" t="s">
        <v>402</v>
      </c>
      <c r="CI38" s="51" t="s">
        <v>402</v>
      </c>
      <c r="CJ38" s="51" t="s">
        <v>402</v>
      </c>
      <c r="CK38" s="51" t="s">
        <v>402</v>
      </c>
      <c r="CL38" s="51" t="s">
        <v>402</v>
      </c>
      <c r="CM38" s="51" t="s">
        <v>402</v>
      </c>
      <c r="CN38" s="57" t="s">
        <v>412</v>
      </c>
      <c r="CO38" s="51" t="s">
        <v>412</v>
      </c>
      <c r="CP38" s="51" t="s">
        <v>396</v>
      </c>
      <c r="CQ38" s="51" t="s">
        <v>403</v>
      </c>
      <c r="CR38" s="51" t="s">
        <v>396</v>
      </c>
      <c r="CS38" s="51" t="s">
        <v>404</v>
      </c>
      <c r="CT38" s="51" t="s">
        <v>396</v>
      </c>
      <c r="CU38" s="51" t="s">
        <v>396</v>
      </c>
      <c r="CV38" s="51" t="s">
        <v>396</v>
      </c>
      <c r="CW38" s="57" t="s">
        <v>398</v>
      </c>
      <c r="CX38" s="51" t="s">
        <v>398</v>
      </c>
      <c r="CY38" s="51" t="s">
        <v>398</v>
      </c>
      <c r="CZ38" s="64" t="str">
        <f>IF(_xlfn.XLOOKUP(B38,[2]累计数据!$C$193:$C$245,[2]累计数据!$C$193:$C$245,"N")=B38,"Y","N")</f>
        <v>N</v>
      </c>
      <c r="DA38" s="58">
        <v>0.04</v>
      </c>
      <c r="DB38" s="59">
        <v>0.04</v>
      </c>
      <c r="DC38" s="59">
        <v>0.04</v>
      </c>
      <c r="DD38" s="65"/>
      <c r="DE38"/>
      <c r="DF38"/>
      <c r="DG38"/>
      <c r="DH38"/>
      <c r="DI38"/>
      <c r="DJ38" s="3"/>
    </row>
    <row r="39" customFormat="1" ht="22.5" customHeight="1" spans="1:114">
      <c r="A39" s="46">
        <v>12272</v>
      </c>
      <c r="B39" s="47" t="s">
        <v>428</v>
      </c>
      <c r="C39" s="48">
        <v>46097</v>
      </c>
      <c r="D39" s="49">
        <f>IF(_xlfn.XLOOKUP(A39,[1]分配表!J:J,[1]分配表!M:M)=0,"未出单",_xlfn.XLOOKUP(A39,[1]分配表!J:J,[1]分配表!M:M))</f>
        <v>46099</v>
      </c>
      <c r="E39" s="50" t="str">
        <f>_xlfn.XLOOKUP(A39,[1]分配表!A:A,[1]分配表!C:C)</f>
        <v>胡煜星</v>
      </c>
      <c r="F39" s="50" t="s">
        <v>44</v>
      </c>
      <c r="G39" s="50" t="s">
        <v>34</v>
      </c>
      <c r="H39" s="51">
        <v>0</v>
      </c>
      <c r="I39" s="51">
        <v>1</v>
      </c>
      <c r="J39" s="51">
        <v>1</v>
      </c>
      <c r="K39" s="51">
        <v>6</v>
      </c>
      <c r="L39" s="51">
        <v>5</v>
      </c>
      <c r="M39" s="51">
        <v>4</v>
      </c>
      <c r="N39" s="51">
        <v>3</v>
      </c>
      <c r="O39" s="51">
        <v>9</v>
      </c>
      <c r="P39" s="51">
        <v>5</v>
      </c>
      <c r="Q39" s="52">
        <f t="shared" si="0"/>
        <v>-4</v>
      </c>
      <c r="R39" s="53">
        <v>0</v>
      </c>
      <c r="S39" s="54">
        <v>68</v>
      </c>
      <c r="T39" s="54">
        <v>68</v>
      </c>
      <c r="U39" s="54">
        <v>408</v>
      </c>
      <c r="V39" s="54">
        <v>336.6</v>
      </c>
      <c r="W39" s="54">
        <v>272</v>
      </c>
      <c r="X39" s="54">
        <v>204</v>
      </c>
      <c r="Y39" s="55">
        <v>608.6</v>
      </c>
      <c r="Z39" s="56">
        <v>340</v>
      </c>
      <c r="AA39" s="54">
        <f t="shared" si="1"/>
        <v>-268.6</v>
      </c>
      <c r="AB39" s="57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8" t="s">
        <v>390</v>
      </c>
      <c r="AL39" s="59" t="s">
        <v>390</v>
      </c>
      <c r="AM39" s="59">
        <v>1</v>
      </c>
      <c r="AN39" s="59">
        <v>1</v>
      </c>
      <c r="AO39" s="59">
        <v>1</v>
      </c>
      <c r="AP39" s="59">
        <v>1</v>
      </c>
      <c r="AQ39" s="59">
        <v>1</v>
      </c>
      <c r="AR39" s="59">
        <v>1</v>
      </c>
      <c r="AS39" s="59">
        <v>1</v>
      </c>
      <c r="AT39" s="60" t="s">
        <v>412</v>
      </c>
      <c r="AU39" s="61">
        <v>1</v>
      </c>
      <c r="AV39" s="61">
        <v>8</v>
      </c>
      <c r="AW39" s="61">
        <v>1</v>
      </c>
      <c r="AX39" s="61">
        <v>7</v>
      </c>
      <c r="AY39" s="61">
        <v>1</v>
      </c>
      <c r="AZ39" s="61">
        <v>7</v>
      </c>
      <c r="BA39" s="61">
        <v>14</v>
      </c>
      <c r="BB39" s="62">
        <v>21</v>
      </c>
      <c r="BC39" s="54" t="s">
        <v>412</v>
      </c>
      <c r="BD39" s="54" t="s">
        <v>391</v>
      </c>
      <c r="BE39" s="54" t="s">
        <v>391</v>
      </c>
      <c r="BF39" s="54" t="s">
        <v>391</v>
      </c>
      <c r="BG39" s="54" t="s">
        <v>391</v>
      </c>
      <c r="BH39" s="54" t="s">
        <v>391</v>
      </c>
      <c r="BI39" s="54" t="s">
        <v>391</v>
      </c>
      <c r="BJ39" s="54" t="s">
        <v>391</v>
      </c>
      <c r="BK39" s="54" t="s">
        <v>391</v>
      </c>
      <c r="BL39" s="53" t="s">
        <v>412</v>
      </c>
      <c r="BM39" s="54" t="s">
        <v>392</v>
      </c>
      <c r="BN39" s="54" t="s">
        <v>393</v>
      </c>
      <c r="BO39" s="54" t="s">
        <v>392</v>
      </c>
      <c r="BP39" s="54" t="s">
        <v>392</v>
      </c>
      <c r="BQ39" s="54" t="s">
        <v>392</v>
      </c>
      <c r="BR39" s="54" t="s">
        <v>392</v>
      </c>
      <c r="BS39" s="54" t="s">
        <v>392</v>
      </c>
      <c r="BT39" s="63" t="s">
        <v>392</v>
      </c>
      <c r="BU39" s="53" t="s">
        <v>412</v>
      </c>
      <c r="BV39" s="54" t="s">
        <v>392</v>
      </c>
      <c r="BW39" s="54" t="s">
        <v>392</v>
      </c>
      <c r="BX39" s="54" t="s">
        <v>392</v>
      </c>
      <c r="BY39" s="54" t="s">
        <v>392</v>
      </c>
      <c r="BZ39" s="54" t="s">
        <v>392</v>
      </c>
      <c r="CA39" s="54" t="s">
        <v>392</v>
      </c>
      <c r="CB39" s="54" t="s">
        <v>392</v>
      </c>
      <c r="CC39" s="54" t="s">
        <v>392</v>
      </c>
      <c r="CD39" s="57" t="s">
        <v>412</v>
      </c>
      <c r="CE39" s="51" t="s">
        <v>412</v>
      </c>
      <c r="CF39" s="51" t="s">
        <v>394</v>
      </c>
      <c r="CG39" s="51" t="s">
        <v>392</v>
      </c>
      <c r="CH39" s="51" t="s">
        <v>392</v>
      </c>
      <c r="CI39" s="51" t="s">
        <v>392</v>
      </c>
      <c r="CJ39" s="51" t="s">
        <v>392</v>
      </c>
      <c r="CK39" s="51" t="s">
        <v>392</v>
      </c>
      <c r="CL39" s="51" t="s">
        <v>392</v>
      </c>
      <c r="CM39" s="51" t="s">
        <v>392</v>
      </c>
      <c r="CN39" s="57"/>
      <c r="CO39" s="51"/>
      <c r="CP39" s="51" t="s">
        <v>396</v>
      </c>
      <c r="CQ39" s="51" t="s">
        <v>396</v>
      </c>
      <c r="CR39" s="51" t="s">
        <v>396</v>
      </c>
      <c r="CS39" s="51" t="s">
        <v>396</v>
      </c>
      <c r="CT39" s="51" t="s">
        <v>396</v>
      </c>
      <c r="CU39" s="51" t="s">
        <v>396</v>
      </c>
      <c r="CV39" s="51" t="s">
        <v>396</v>
      </c>
      <c r="CW39" s="57" t="s">
        <v>398</v>
      </c>
      <c r="CX39" s="51" t="s">
        <v>398</v>
      </c>
      <c r="CY39" s="51" t="s">
        <v>398</v>
      </c>
      <c r="CZ39" s="64" t="str">
        <f>IF(_xlfn.XLOOKUP(B39,[2]累计数据!$C$193:$C$245,[2]累计数据!$C$193:$C$245,"N")=B39,"Y","N")</f>
        <v>N</v>
      </c>
      <c r="DA39" s="58">
        <v>0.03</v>
      </c>
      <c r="DB39" s="59">
        <v>0</v>
      </c>
      <c r="DC39" s="59">
        <v>0</v>
      </c>
      <c r="DD39" s="65"/>
      <c r="DE39"/>
      <c r="DF39"/>
      <c r="DG39"/>
      <c r="DH39"/>
      <c r="DI39"/>
      <c r="DJ39" s="3"/>
    </row>
    <row r="40" customFormat="1" ht="22.5" customHeight="1" spans="1:114">
      <c r="A40" s="46">
        <v>12292</v>
      </c>
      <c r="B40" s="47" t="s">
        <v>94</v>
      </c>
      <c r="C40" s="48">
        <v>46097</v>
      </c>
      <c r="D40" s="49">
        <f>IF(_xlfn.XLOOKUP(A40,[1]分配表!J:J,[1]分配表!M:M)=0,"未出单",_xlfn.XLOOKUP(A40,[1]分配表!J:J,[1]分配表!M:M))</f>
        <v>46100</v>
      </c>
      <c r="E40" s="50" t="str">
        <f>_xlfn.XLOOKUP(A40,[1]分配表!A:A,[1]分配表!C:C)</f>
        <v>朱培源</v>
      </c>
      <c r="F40" s="50" t="s">
        <v>97</v>
      </c>
      <c r="G40" s="50" t="s">
        <v>34</v>
      </c>
      <c r="H40" s="51">
        <v>0</v>
      </c>
      <c r="I40" s="51">
        <v>0</v>
      </c>
      <c r="J40" s="51">
        <v>1</v>
      </c>
      <c r="K40" s="51">
        <v>3</v>
      </c>
      <c r="L40" s="51">
        <v>3</v>
      </c>
      <c r="M40" s="51">
        <v>1</v>
      </c>
      <c r="N40" s="51">
        <v>0</v>
      </c>
      <c r="O40" s="51">
        <v>0</v>
      </c>
      <c r="P40" s="51">
        <v>1</v>
      </c>
      <c r="Q40" s="52">
        <f t="shared" si="0"/>
        <v>1</v>
      </c>
      <c r="R40" s="53">
        <v>0</v>
      </c>
      <c r="S40" s="54">
        <v>0</v>
      </c>
      <c r="T40" s="54">
        <v>95</v>
      </c>
      <c r="U40" s="54">
        <v>285</v>
      </c>
      <c r="V40" s="54">
        <v>267</v>
      </c>
      <c r="W40" s="54">
        <v>89</v>
      </c>
      <c r="X40" s="54">
        <v>0</v>
      </c>
      <c r="Y40" s="55">
        <v>0</v>
      </c>
      <c r="Z40" s="56">
        <v>95</v>
      </c>
      <c r="AA40" s="54">
        <f t="shared" si="1"/>
        <v>95</v>
      </c>
      <c r="AB40" s="57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0</v>
      </c>
      <c r="AI40" s="51">
        <v>0</v>
      </c>
      <c r="AJ40" s="51">
        <v>0</v>
      </c>
      <c r="AK40" s="58" t="s">
        <v>390</v>
      </c>
      <c r="AL40" s="59" t="s">
        <v>390</v>
      </c>
      <c r="AM40" s="59">
        <v>1</v>
      </c>
      <c r="AN40" s="59">
        <v>1</v>
      </c>
      <c r="AO40" s="59">
        <v>1</v>
      </c>
      <c r="AP40" s="59">
        <v>1</v>
      </c>
      <c r="AQ40" s="59" t="s">
        <v>390</v>
      </c>
      <c r="AR40" s="59" t="s">
        <v>390</v>
      </c>
      <c r="AS40" s="59">
        <v>1</v>
      </c>
      <c r="AT40" s="60" t="s">
        <v>412</v>
      </c>
      <c r="AU40" s="61">
        <v>2</v>
      </c>
      <c r="AV40" s="61">
        <v>2</v>
      </c>
      <c r="AW40" s="61">
        <v>1</v>
      </c>
      <c r="AX40" s="61">
        <v>7</v>
      </c>
      <c r="AY40" s="61">
        <v>15</v>
      </c>
      <c r="AZ40" s="61">
        <v>1</v>
      </c>
      <c r="BA40" s="61">
        <v>8</v>
      </c>
      <c r="BB40" s="62">
        <v>13</v>
      </c>
      <c r="BC40" s="54" t="s">
        <v>412</v>
      </c>
      <c r="BD40" s="54" t="s">
        <v>120</v>
      </c>
      <c r="BE40" s="54" t="s">
        <v>391</v>
      </c>
      <c r="BF40" s="54" t="s">
        <v>391</v>
      </c>
      <c r="BG40" s="54" t="s">
        <v>391</v>
      </c>
      <c r="BH40" s="54" t="s">
        <v>391</v>
      </c>
      <c r="BI40" s="54" t="s">
        <v>391</v>
      </c>
      <c r="BJ40" s="54" t="s">
        <v>391</v>
      </c>
      <c r="BK40" s="54" t="s">
        <v>391</v>
      </c>
      <c r="BL40" s="53" t="s">
        <v>412</v>
      </c>
      <c r="BM40" s="54" t="s">
        <v>392</v>
      </c>
      <c r="BN40" s="54" t="s">
        <v>392</v>
      </c>
      <c r="BO40" s="54" t="s">
        <v>392</v>
      </c>
      <c r="BP40" s="54" t="s">
        <v>392</v>
      </c>
      <c r="BQ40" s="54" t="s">
        <v>393</v>
      </c>
      <c r="BR40" s="54" t="s">
        <v>392</v>
      </c>
      <c r="BS40" s="54" t="s">
        <v>392</v>
      </c>
      <c r="BT40" s="63" t="s">
        <v>392</v>
      </c>
      <c r="BU40" s="53" t="s">
        <v>412</v>
      </c>
      <c r="BV40" s="54" t="s">
        <v>392</v>
      </c>
      <c r="BW40" s="54" t="s">
        <v>392</v>
      </c>
      <c r="BX40" s="54" t="s">
        <v>392</v>
      </c>
      <c r="BY40" s="54" t="s">
        <v>392</v>
      </c>
      <c r="BZ40" s="54" t="s">
        <v>392</v>
      </c>
      <c r="CA40" s="54" t="s">
        <v>392</v>
      </c>
      <c r="CB40" s="54" t="s">
        <v>392</v>
      </c>
      <c r="CC40" s="54" t="s">
        <v>392</v>
      </c>
      <c r="CD40" s="57" t="s">
        <v>412</v>
      </c>
      <c r="CE40" s="51" t="s">
        <v>412</v>
      </c>
      <c r="CF40" s="51" t="s">
        <v>394</v>
      </c>
      <c r="CG40" s="51" t="s">
        <v>392</v>
      </c>
      <c r="CH40" s="51" t="s">
        <v>392</v>
      </c>
      <c r="CI40" s="51" t="s">
        <v>392</v>
      </c>
      <c r="CJ40" s="51" t="s">
        <v>392</v>
      </c>
      <c r="CK40" s="51" t="s">
        <v>394</v>
      </c>
      <c r="CL40" s="51" t="s">
        <v>406</v>
      </c>
      <c r="CM40" s="51" t="s">
        <v>392</v>
      </c>
      <c r="CN40" s="57"/>
      <c r="CO40" s="51"/>
      <c r="CP40" s="51" t="s">
        <v>396</v>
      </c>
      <c r="CQ40" s="51" t="s">
        <v>396</v>
      </c>
      <c r="CR40" s="51" t="s">
        <v>396</v>
      </c>
      <c r="CS40" s="51" t="s">
        <v>396</v>
      </c>
      <c r="CT40" s="51" t="s">
        <v>400</v>
      </c>
      <c r="CU40" s="51" t="s">
        <v>396</v>
      </c>
      <c r="CV40" s="51" t="s">
        <v>396</v>
      </c>
      <c r="CW40" s="57" t="s">
        <v>391</v>
      </c>
      <c r="CX40" s="51" t="s">
        <v>391</v>
      </c>
      <c r="CY40" s="51" t="s">
        <v>391</v>
      </c>
      <c r="CZ40" s="64" t="str">
        <f>IF(_xlfn.XLOOKUP(B40,[2]累计数据!$C$193:$C$245,[2]累计数据!$C$193:$C$245,"N")=B40,"Y","N")</f>
        <v>Y</v>
      </c>
      <c r="DA40" s="58">
        <v>0.02</v>
      </c>
      <c r="DB40" s="59">
        <v>0.02</v>
      </c>
      <c r="DC40" s="59">
        <v>0.02</v>
      </c>
      <c r="DD40" s="65"/>
      <c r="DE40"/>
      <c r="DF40"/>
      <c r="DG40"/>
      <c r="DH40"/>
      <c r="DI40"/>
      <c r="DJ40" s="3"/>
    </row>
    <row r="41" customFormat="1" ht="22.5" customHeight="1" spans="1:114">
      <c r="A41" s="46">
        <v>12333</v>
      </c>
      <c r="B41" s="47" t="s">
        <v>429</v>
      </c>
      <c r="C41" s="48">
        <v>46097</v>
      </c>
      <c r="D41" s="49">
        <f>IF(_xlfn.XLOOKUP(A41,[1]分配表!J:J,[1]分配表!M:M)=0,"未出单",_xlfn.XLOOKUP(A41,[1]分配表!J:J,[1]分配表!M:M))</f>
        <v>46116</v>
      </c>
      <c r="E41" s="50" t="str">
        <f>_xlfn.XLOOKUP(A41,[1]分配表!A:A,[1]分配表!C:C)</f>
        <v>朱培源</v>
      </c>
      <c r="F41" s="50" t="s">
        <v>44</v>
      </c>
      <c r="G41" s="50" t="s">
        <v>34</v>
      </c>
      <c r="H41" s="51">
        <v>0</v>
      </c>
      <c r="I41" s="51">
        <v>0</v>
      </c>
      <c r="J41" s="51">
        <v>0</v>
      </c>
      <c r="K41" s="51">
        <v>0</v>
      </c>
      <c r="L41" s="51">
        <v>1</v>
      </c>
      <c r="M41" s="51">
        <v>1</v>
      </c>
      <c r="N41" s="51">
        <v>1</v>
      </c>
      <c r="O41" s="51">
        <v>1</v>
      </c>
      <c r="P41" s="51">
        <v>0</v>
      </c>
      <c r="Q41" s="52">
        <f t="shared" si="0"/>
        <v>-1</v>
      </c>
      <c r="R41" s="53">
        <v>0</v>
      </c>
      <c r="S41" s="54">
        <v>0</v>
      </c>
      <c r="T41" s="54">
        <v>0</v>
      </c>
      <c r="U41" s="54">
        <v>0</v>
      </c>
      <c r="V41" s="54">
        <v>68.4</v>
      </c>
      <c r="W41" s="54">
        <v>72</v>
      </c>
      <c r="X41" s="54">
        <v>72</v>
      </c>
      <c r="Y41" s="55">
        <v>50</v>
      </c>
      <c r="Z41" s="56">
        <v>0</v>
      </c>
      <c r="AA41" s="54">
        <f t="shared" si="1"/>
        <v>-50</v>
      </c>
      <c r="AB41" s="57">
        <v>0</v>
      </c>
      <c r="AC41" s="51">
        <v>0</v>
      </c>
      <c r="AD41" s="51">
        <v>2</v>
      </c>
      <c r="AE41" s="51">
        <v>0</v>
      </c>
      <c r="AF41" s="51">
        <v>1</v>
      </c>
      <c r="AG41" s="51">
        <v>0</v>
      </c>
      <c r="AH41" s="51">
        <v>0</v>
      </c>
      <c r="AI41" s="51">
        <v>0</v>
      </c>
      <c r="AJ41" s="51">
        <v>0</v>
      </c>
      <c r="AK41" s="58" t="s">
        <v>390</v>
      </c>
      <c r="AL41" s="59" t="s">
        <v>390</v>
      </c>
      <c r="AM41" s="59">
        <v>0</v>
      </c>
      <c r="AN41" s="59">
        <v>0</v>
      </c>
      <c r="AO41" s="59">
        <v>0.5</v>
      </c>
      <c r="AP41" s="59">
        <v>1</v>
      </c>
      <c r="AQ41" s="59" t="s">
        <v>390</v>
      </c>
      <c r="AR41" s="59">
        <v>1</v>
      </c>
      <c r="AS41" s="59">
        <v>1</v>
      </c>
      <c r="AT41" s="60" t="s">
        <v>412</v>
      </c>
      <c r="AU41" s="61">
        <v>2</v>
      </c>
      <c r="AV41" s="61">
        <v>2</v>
      </c>
      <c r="AW41" s="61">
        <v>1</v>
      </c>
      <c r="AX41" s="61">
        <v>5</v>
      </c>
      <c r="AY41" s="61">
        <v>13</v>
      </c>
      <c r="AZ41" s="61">
        <v>1</v>
      </c>
      <c r="BA41" s="61">
        <v>8</v>
      </c>
      <c r="BB41" s="62">
        <v>15</v>
      </c>
      <c r="BC41" s="54" t="s">
        <v>412</v>
      </c>
      <c r="BD41" s="54" t="s">
        <v>120</v>
      </c>
      <c r="BE41" s="54" t="s">
        <v>120</v>
      </c>
      <c r="BF41" s="54" t="s">
        <v>120</v>
      </c>
      <c r="BG41" s="54" t="s">
        <v>398</v>
      </c>
      <c r="BH41" s="54" t="s">
        <v>398</v>
      </c>
      <c r="BI41" s="54" t="s">
        <v>398</v>
      </c>
      <c r="BJ41" s="54" t="s">
        <v>398</v>
      </c>
      <c r="BK41" s="54" t="s">
        <v>398</v>
      </c>
      <c r="BL41" s="53" t="s">
        <v>412</v>
      </c>
      <c r="BM41" s="54" t="s">
        <v>392</v>
      </c>
      <c r="BN41" s="54" t="s">
        <v>392</v>
      </c>
      <c r="BO41" s="54" t="s">
        <v>392</v>
      </c>
      <c r="BP41" s="54" t="s">
        <v>392</v>
      </c>
      <c r="BQ41" s="54" t="s">
        <v>393</v>
      </c>
      <c r="BR41" s="54" t="s">
        <v>392</v>
      </c>
      <c r="BS41" s="54" t="s">
        <v>392</v>
      </c>
      <c r="BT41" s="63" t="s">
        <v>392</v>
      </c>
      <c r="BU41" s="53" t="s">
        <v>412</v>
      </c>
      <c r="BV41" s="54" t="s">
        <v>392</v>
      </c>
      <c r="BW41" s="54" t="s">
        <v>392</v>
      </c>
      <c r="BX41" s="54" t="s">
        <v>392</v>
      </c>
      <c r="BY41" s="54" t="s">
        <v>392</v>
      </c>
      <c r="BZ41" s="54" t="s">
        <v>392</v>
      </c>
      <c r="CA41" s="54" t="s">
        <v>392</v>
      </c>
      <c r="CB41" s="54" t="s">
        <v>392</v>
      </c>
      <c r="CC41" s="54" t="s">
        <v>392</v>
      </c>
      <c r="CD41" s="57" t="s">
        <v>412</v>
      </c>
      <c r="CE41" s="51" t="s">
        <v>412</v>
      </c>
      <c r="CF41" s="51" t="s">
        <v>394</v>
      </c>
      <c r="CG41" s="51" t="s">
        <v>402</v>
      </c>
      <c r="CH41" s="51" t="s">
        <v>406</v>
      </c>
      <c r="CI41" s="51" t="s">
        <v>402</v>
      </c>
      <c r="CJ41" s="51" t="s">
        <v>392</v>
      </c>
      <c r="CK41" s="51" t="s">
        <v>406</v>
      </c>
      <c r="CL41" s="51" t="s">
        <v>392</v>
      </c>
      <c r="CM41" s="51" t="s">
        <v>392</v>
      </c>
      <c r="CN41" s="57"/>
      <c r="CO41" s="51"/>
      <c r="CP41" s="51" t="s">
        <v>396</v>
      </c>
      <c r="CQ41" s="51" t="s">
        <v>397</v>
      </c>
      <c r="CR41" s="51" t="s">
        <v>396</v>
      </c>
      <c r="CS41" s="51" t="s">
        <v>396</v>
      </c>
      <c r="CT41" s="51" t="s">
        <v>400</v>
      </c>
      <c r="CU41" s="51" t="s">
        <v>396</v>
      </c>
      <c r="CV41" s="51" t="s">
        <v>396</v>
      </c>
      <c r="CW41" s="57" t="s">
        <v>398</v>
      </c>
      <c r="CX41" s="51" t="s">
        <v>398</v>
      </c>
      <c r="CY41" s="51" t="s">
        <v>398</v>
      </c>
      <c r="CZ41" s="64" t="str">
        <f>IF(_xlfn.XLOOKUP(B41,[2]累计数据!$C$193:$C$245,[2]累计数据!$C$193:$C$245,"N")=B41,"Y","N")</f>
        <v>N</v>
      </c>
      <c r="DA41" s="58">
        <v>0.04</v>
      </c>
      <c r="DB41" s="59">
        <v>0.04</v>
      </c>
      <c r="DC41" s="59">
        <v>0.02</v>
      </c>
      <c r="DD41" s="65"/>
      <c r="DE41"/>
      <c r="DF41"/>
      <c r="DG41"/>
      <c r="DH41"/>
      <c r="DI41"/>
      <c r="DJ41" s="3"/>
    </row>
    <row r="42" customFormat="1" ht="22.5" customHeight="1" spans="1:114">
      <c r="A42" s="46">
        <v>12334</v>
      </c>
      <c r="B42" s="47" t="s">
        <v>430</v>
      </c>
      <c r="C42" s="48">
        <v>46097</v>
      </c>
      <c r="D42" s="49">
        <f>IF(_xlfn.XLOOKUP(A42,[1]分配表!J:J,[1]分配表!M:M)=0,"未出单",_xlfn.XLOOKUP(A42,[1]分配表!J:J,[1]分配表!M:M))</f>
        <v>46105</v>
      </c>
      <c r="E42" s="50" t="str">
        <f>_xlfn.XLOOKUP(A42,[1]分配表!A:A,[1]分配表!C:C)</f>
        <v>朱培源</v>
      </c>
      <c r="F42" s="50" t="s">
        <v>44</v>
      </c>
      <c r="G42" s="50" t="s">
        <v>34</v>
      </c>
      <c r="H42" s="51">
        <v>0</v>
      </c>
      <c r="I42" s="51">
        <v>0</v>
      </c>
      <c r="J42" s="51">
        <v>1</v>
      </c>
      <c r="K42" s="51">
        <v>0</v>
      </c>
      <c r="L42" s="51">
        <v>1</v>
      </c>
      <c r="M42" s="51">
        <v>3</v>
      </c>
      <c r="N42" s="51">
        <v>4</v>
      </c>
      <c r="O42" s="51">
        <v>2</v>
      </c>
      <c r="P42" s="51">
        <v>4</v>
      </c>
      <c r="Q42" s="52">
        <f t="shared" si="0"/>
        <v>2</v>
      </c>
      <c r="R42" s="53">
        <v>0</v>
      </c>
      <c r="S42" s="54">
        <v>0</v>
      </c>
      <c r="T42" s="54">
        <v>225</v>
      </c>
      <c r="U42" s="54">
        <v>0</v>
      </c>
      <c r="V42" s="54">
        <v>98</v>
      </c>
      <c r="W42" s="54">
        <v>294</v>
      </c>
      <c r="X42" s="54">
        <v>392</v>
      </c>
      <c r="Y42" s="55">
        <v>196</v>
      </c>
      <c r="Z42" s="56">
        <v>396</v>
      </c>
      <c r="AA42" s="54">
        <f t="shared" si="1"/>
        <v>200</v>
      </c>
      <c r="AB42" s="57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8" t="s">
        <v>390</v>
      </c>
      <c r="AL42" s="59" t="s">
        <v>390</v>
      </c>
      <c r="AM42" s="59">
        <v>1</v>
      </c>
      <c r="AN42" s="59">
        <v>0</v>
      </c>
      <c r="AO42" s="59">
        <v>1</v>
      </c>
      <c r="AP42" s="59">
        <v>1</v>
      </c>
      <c r="AQ42" s="59">
        <v>1</v>
      </c>
      <c r="AR42" s="59">
        <v>1</v>
      </c>
      <c r="AS42" s="59">
        <v>1</v>
      </c>
      <c r="AT42" s="60" t="s">
        <v>412</v>
      </c>
      <c r="AU42" s="61">
        <v>1</v>
      </c>
      <c r="AV42" s="61">
        <v>2</v>
      </c>
      <c r="AW42" s="61">
        <v>1</v>
      </c>
      <c r="AX42" s="61">
        <v>7</v>
      </c>
      <c r="AY42" s="61">
        <v>15</v>
      </c>
      <c r="AZ42" s="61">
        <v>1</v>
      </c>
      <c r="BA42" s="61">
        <v>8</v>
      </c>
      <c r="BB42" s="62">
        <v>15</v>
      </c>
      <c r="BC42" s="54" t="s">
        <v>412</v>
      </c>
      <c r="BD42" s="54" t="s">
        <v>120</v>
      </c>
      <c r="BE42" s="54" t="s">
        <v>391</v>
      </c>
      <c r="BF42" s="54" t="s">
        <v>391</v>
      </c>
      <c r="BG42" s="54" t="s">
        <v>391</v>
      </c>
      <c r="BH42" s="54" t="s">
        <v>391</v>
      </c>
      <c r="BI42" s="54" t="s">
        <v>391</v>
      </c>
      <c r="BJ42" s="54" t="s">
        <v>391</v>
      </c>
      <c r="BK42" s="54" t="s">
        <v>391</v>
      </c>
      <c r="BL42" s="53" t="s">
        <v>412</v>
      </c>
      <c r="BM42" s="54" t="s">
        <v>392</v>
      </c>
      <c r="BN42" s="54" t="s">
        <v>392</v>
      </c>
      <c r="BO42" s="54" t="s">
        <v>392</v>
      </c>
      <c r="BP42" s="54" t="s">
        <v>392</v>
      </c>
      <c r="BQ42" s="54" t="s">
        <v>393</v>
      </c>
      <c r="BR42" s="54" t="s">
        <v>392</v>
      </c>
      <c r="BS42" s="54" t="s">
        <v>392</v>
      </c>
      <c r="BT42" s="63" t="s">
        <v>392</v>
      </c>
      <c r="BU42" s="53" t="s">
        <v>412</v>
      </c>
      <c r="BV42" s="54" t="s">
        <v>392</v>
      </c>
      <c r="BW42" s="54" t="s">
        <v>392</v>
      </c>
      <c r="BX42" s="54" t="s">
        <v>392</v>
      </c>
      <c r="BY42" s="54" t="s">
        <v>392</v>
      </c>
      <c r="BZ42" s="54" t="s">
        <v>392</v>
      </c>
      <c r="CA42" s="54" t="s">
        <v>392</v>
      </c>
      <c r="CB42" s="54" t="s">
        <v>392</v>
      </c>
      <c r="CC42" s="54" t="s">
        <v>392</v>
      </c>
      <c r="CD42" s="57" t="s">
        <v>412</v>
      </c>
      <c r="CE42" s="51" t="s">
        <v>412</v>
      </c>
      <c r="CF42" s="51" t="s">
        <v>394</v>
      </c>
      <c r="CG42" s="51" t="s">
        <v>394</v>
      </c>
      <c r="CH42" s="51" t="s">
        <v>392</v>
      </c>
      <c r="CI42" s="51" t="s">
        <v>392</v>
      </c>
      <c r="CJ42" s="51" t="s">
        <v>392</v>
      </c>
      <c r="CK42" s="51" t="s">
        <v>392</v>
      </c>
      <c r="CL42" s="51" t="s">
        <v>392</v>
      </c>
      <c r="CM42" s="51" t="s">
        <v>392</v>
      </c>
      <c r="CN42" s="57"/>
      <c r="CO42" s="51"/>
      <c r="CP42" s="51" t="s">
        <v>396</v>
      </c>
      <c r="CQ42" s="51" t="s">
        <v>396</v>
      </c>
      <c r="CR42" s="51" t="s">
        <v>396</v>
      </c>
      <c r="CS42" s="51" t="s">
        <v>396</v>
      </c>
      <c r="CT42" s="51" t="s">
        <v>400</v>
      </c>
      <c r="CU42" s="51" t="s">
        <v>396</v>
      </c>
      <c r="CV42" s="51" t="s">
        <v>396</v>
      </c>
      <c r="CW42" s="57" t="s">
        <v>398</v>
      </c>
      <c r="CX42" s="51" t="s">
        <v>398</v>
      </c>
      <c r="CY42" s="51" t="s">
        <v>398</v>
      </c>
      <c r="CZ42" s="64" t="str">
        <f>IF(_xlfn.XLOOKUP(B42,[2]累计数据!$C$193:$C$245,[2]累计数据!$C$193:$C$245,"N")=B42,"Y","N")</f>
        <v>N</v>
      </c>
      <c r="DA42" s="58">
        <v>0.04</v>
      </c>
      <c r="DB42" s="59">
        <v>0.04</v>
      </c>
      <c r="DC42" s="59">
        <v>0</v>
      </c>
      <c r="DD42" s="65"/>
      <c r="DE42"/>
      <c r="DF42"/>
      <c r="DG42"/>
      <c r="DH42"/>
      <c r="DI42"/>
      <c r="DJ42" s="3"/>
    </row>
    <row r="43" customFormat="1" ht="22.5" customHeight="1" spans="1:114">
      <c r="A43" s="46">
        <v>12368</v>
      </c>
      <c r="B43" s="47" t="s">
        <v>225</v>
      </c>
      <c r="C43" s="48">
        <v>46097</v>
      </c>
      <c r="D43" s="49">
        <f>IF(_xlfn.XLOOKUP(A43,[1]分配表!J:J,[1]分配表!M:M)=0,"未出单",_xlfn.XLOOKUP(A43,[1]分配表!J:J,[1]分配表!M:M))</f>
        <v>46104</v>
      </c>
      <c r="E43" s="50" t="str">
        <f>_xlfn.XLOOKUP(A43,[1]分配表!A:A,[1]分配表!C:C)</f>
        <v>胡煜星</v>
      </c>
      <c r="F43" s="50" t="s">
        <v>52</v>
      </c>
      <c r="G43" s="50" t="s">
        <v>34</v>
      </c>
      <c r="H43" s="51">
        <v>0</v>
      </c>
      <c r="I43" s="51">
        <v>0</v>
      </c>
      <c r="J43" s="51">
        <v>1</v>
      </c>
      <c r="K43" s="51">
        <v>3</v>
      </c>
      <c r="L43" s="51">
        <v>4</v>
      </c>
      <c r="M43" s="51">
        <v>3</v>
      </c>
      <c r="N43" s="51">
        <v>2</v>
      </c>
      <c r="O43" s="51">
        <v>2</v>
      </c>
      <c r="P43" s="51">
        <v>1</v>
      </c>
      <c r="Q43" s="52">
        <f t="shared" si="0"/>
        <v>-1</v>
      </c>
      <c r="R43" s="53">
        <v>0</v>
      </c>
      <c r="S43" s="54">
        <v>0</v>
      </c>
      <c r="T43" s="54">
        <v>95</v>
      </c>
      <c r="U43" s="54">
        <v>285</v>
      </c>
      <c r="V43" s="54">
        <v>380</v>
      </c>
      <c r="W43" s="54">
        <v>285</v>
      </c>
      <c r="X43" s="54">
        <v>190</v>
      </c>
      <c r="Y43" s="55">
        <v>190</v>
      </c>
      <c r="Z43" s="56">
        <v>95</v>
      </c>
      <c r="AA43" s="54">
        <f t="shared" si="1"/>
        <v>-95</v>
      </c>
      <c r="AB43" s="57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8" t="s">
        <v>390</v>
      </c>
      <c r="AL43" s="59" t="s">
        <v>390</v>
      </c>
      <c r="AM43" s="59">
        <v>1</v>
      </c>
      <c r="AN43" s="59">
        <v>1</v>
      </c>
      <c r="AO43" s="59">
        <v>1</v>
      </c>
      <c r="AP43" s="59">
        <v>1</v>
      </c>
      <c r="AQ43" s="59">
        <v>1</v>
      </c>
      <c r="AR43" s="59">
        <v>1</v>
      </c>
      <c r="AS43" s="59">
        <v>1</v>
      </c>
      <c r="AT43" s="60" t="s">
        <v>412</v>
      </c>
      <c r="AU43" s="61">
        <v>1</v>
      </c>
      <c r="AV43" s="61">
        <v>5</v>
      </c>
      <c r="AW43" s="61">
        <v>13</v>
      </c>
      <c r="AX43" s="61">
        <v>0</v>
      </c>
      <c r="AY43" s="61">
        <v>8</v>
      </c>
      <c r="AZ43" s="61">
        <v>5</v>
      </c>
      <c r="BA43" s="61">
        <v>12</v>
      </c>
      <c r="BB43" s="62">
        <v>1</v>
      </c>
      <c r="BC43" s="54" t="s">
        <v>412</v>
      </c>
      <c r="BD43" s="54" t="s">
        <v>120</v>
      </c>
      <c r="BE43" s="54" t="s">
        <v>391</v>
      </c>
      <c r="BF43" s="54" t="s">
        <v>391</v>
      </c>
      <c r="BG43" s="54" t="s">
        <v>391</v>
      </c>
      <c r="BH43" s="54" t="s">
        <v>391</v>
      </c>
      <c r="BI43" s="54" t="s">
        <v>391</v>
      </c>
      <c r="BJ43" s="54" t="s">
        <v>391</v>
      </c>
      <c r="BK43" s="54" t="s">
        <v>391</v>
      </c>
      <c r="BL43" s="53" t="s">
        <v>412</v>
      </c>
      <c r="BM43" s="54" t="s">
        <v>392</v>
      </c>
      <c r="BN43" s="54" t="s">
        <v>392</v>
      </c>
      <c r="BO43" s="54" t="s">
        <v>393</v>
      </c>
      <c r="BP43" s="54" t="s">
        <v>392</v>
      </c>
      <c r="BQ43" s="54" t="s">
        <v>393</v>
      </c>
      <c r="BR43" s="54" t="s">
        <v>392</v>
      </c>
      <c r="BS43" s="54" t="s">
        <v>392</v>
      </c>
      <c r="BT43" s="63" t="s">
        <v>392</v>
      </c>
      <c r="BU43" s="53" t="s">
        <v>412</v>
      </c>
      <c r="BV43" s="54" t="s">
        <v>392</v>
      </c>
      <c r="BW43" s="54" t="s">
        <v>392</v>
      </c>
      <c r="BX43" s="54" t="s">
        <v>392</v>
      </c>
      <c r="BY43" s="54" t="s">
        <v>392</v>
      </c>
      <c r="BZ43" s="54" t="s">
        <v>392</v>
      </c>
      <c r="CA43" s="54" t="s">
        <v>392</v>
      </c>
      <c r="CB43" s="54" t="s">
        <v>392</v>
      </c>
      <c r="CC43" s="54" t="s">
        <v>392</v>
      </c>
      <c r="CD43" s="57" t="s">
        <v>412</v>
      </c>
      <c r="CE43" s="51" t="s">
        <v>412</v>
      </c>
      <c r="CF43" s="51" t="s">
        <v>394</v>
      </c>
      <c r="CG43" s="51" t="s">
        <v>392</v>
      </c>
      <c r="CH43" s="51" t="s">
        <v>392</v>
      </c>
      <c r="CI43" s="51" t="s">
        <v>392</v>
      </c>
      <c r="CJ43" s="51" t="s">
        <v>392</v>
      </c>
      <c r="CK43" s="51" t="s">
        <v>392</v>
      </c>
      <c r="CL43" s="51" t="s">
        <v>392</v>
      </c>
      <c r="CM43" s="51" t="s">
        <v>392</v>
      </c>
      <c r="CN43" s="57"/>
      <c r="CO43" s="51"/>
      <c r="CP43" s="51" t="s">
        <v>396</v>
      </c>
      <c r="CQ43" s="51" t="s">
        <v>400</v>
      </c>
      <c r="CR43" s="51" t="s">
        <v>396</v>
      </c>
      <c r="CS43" s="51" t="s">
        <v>396</v>
      </c>
      <c r="CT43" s="51" t="s">
        <v>400</v>
      </c>
      <c r="CU43" s="51" t="s">
        <v>396</v>
      </c>
      <c r="CV43" s="51" t="s">
        <v>396</v>
      </c>
      <c r="CW43" s="57" t="s">
        <v>398</v>
      </c>
      <c r="CX43" s="51" t="s">
        <v>398</v>
      </c>
      <c r="CY43" s="51" t="s">
        <v>391</v>
      </c>
      <c r="CZ43" s="64" t="str">
        <f>IF(_xlfn.XLOOKUP(B43,[2]累计数据!$C$193:$C$245,[2]累计数据!$C$193:$C$245,"N")=B43,"Y","N")</f>
        <v>Y</v>
      </c>
      <c r="DA43" s="58">
        <v>0.02</v>
      </c>
      <c r="DB43" s="59">
        <v>0</v>
      </c>
      <c r="DC43" s="59">
        <v>0</v>
      </c>
      <c r="DD43" s="65"/>
      <c r="DE43"/>
      <c r="DF43"/>
      <c r="DG43"/>
      <c r="DH43"/>
      <c r="DI43"/>
      <c r="DJ43" s="3"/>
    </row>
    <row r="44" customFormat="1" ht="22.5" customHeight="1" spans="1:114">
      <c r="A44" s="46">
        <v>12306</v>
      </c>
      <c r="B44" s="47" t="s">
        <v>104</v>
      </c>
      <c r="C44" s="48">
        <v>46097</v>
      </c>
      <c r="D44" s="49">
        <f>IF(_xlfn.XLOOKUP(A44,[1]分配表!J:J,[1]分配表!M:M)=0,"未出单",_xlfn.XLOOKUP(A44,[1]分配表!J:J,[1]分配表!M:M))</f>
        <v>46099</v>
      </c>
      <c r="E44" s="50" t="str">
        <f>_xlfn.XLOOKUP(A44,[1]分配表!A:A,[1]分配表!C:C)</f>
        <v>俞东旭</v>
      </c>
      <c r="F44" s="50" t="s">
        <v>44</v>
      </c>
      <c r="G44" s="50" t="s">
        <v>34</v>
      </c>
      <c r="H44" s="51">
        <v>0</v>
      </c>
      <c r="I44" s="51">
        <v>2</v>
      </c>
      <c r="J44" s="51">
        <v>3</v>
      </c>
      <c r="K44" s="51">
        <v>2</v>
      </c>
      <c r="L44" s="51">
        <v>4</v>
      </c>
      <c r="M44" s="51">
        <v>3</v>
      </c>
      <c r="N44" s="51">
        <v>1</v>
      </c>
      <c r="O44" s="51">
        <v>1</v>
      </c>
      <c r="P44" s="51">
        <v>3</v>
      </c>
      <c r="Q44" s="52">
        <f t="shared" si="0"/>
        <v>2</v>
      </c>
      <c r="R44" s="53">
        <v>0</v>
      </c>
      <c r="S44" s="54">
        <v>1100</v>
      </c>
      <c r="T44" s="54">
        <v>1650</v>
      </c>
      <c r="U44" s="54">
        <v>1130</v>
      </c>
      <c r="V44" s="54">
        <v>2336</v>
      </c>
      <c r="W44" s="54">
        <v>1764</v>
      </c>
      <c r="X44" s="54">
        <v>595</v>
      </c>
      <c r="Y44" s="55">
        <v>598</v>
      </c>
      <c r="Z44" s="56">
        <v>1794</v>
      </c>
      <c r="AA44" s="54">
        <f t="shared" si="1"/>
        <v>1196</v>
      </c>
      <c r="AB44" s="57">
        <v>0</v>
      </c>
      <c r="AC44" s="51">
        <v>0</v>
      </c>
      <c r="AD44" s="51">
        <v>0</v>
      </c>
      <c r="AE44" s="51">
        <v>0</v>
      </c>
      <c r="AF44" s="51">
        <v>1</v>
      </c>
      <c r="AG44" s="51">
        <v>3</v>
      </c>
      <c r="AH44" s="51">
        <v>1</v>
      </c>
      <c r="AI44" s="51">
        <v>4</v>
      </c>
      <c r="AJ44" s="51">
        <v>1</v>
      </c>
      <c r="AK44" s="58" t="s">
        <v>390</v>
      </c>
      <c r="AL44" s="59" t="s">
        <v>390</v>
      </c>
      <c r="AM44" s="59">
        <v>1</v>
      </c>
      <c r="AN44" s="59">
        <v>1</v>
      </c>
      <c r="AO44" s="59">
        <v>0.8</v>
      </c>
      <c r="AP44" s="59">
        <v>0.5</v>
      </c>
      <c r="AQ44" s="59">
        <v>0.5</v>
      </c>
      <c r="AR44" s="59">
        <v>0.2</v>
      </c>
      <c r="AS44" s="59">
        <v>0.5</v>
      </c>
      <c r="AT44" s="60" t="s">
        <v>412</v>
      </c>
      <c r="AU44" s="61">
        <v>1</v>
      </c>
      <c r="AV44" s="61">
        <v>8</v>
      </c>
      <c r="AW44" s="61">
        <v>16</v>
      </c>
      <c r="AX44" s="61">
        <v>0</v>
      </c>
      <c r="AY44" s="61">
        <v>2</v>
      </c>
      <c r="AZ44" s="61">
        <v>1</v>
      </c>
      <c r="BA44" s="61">
        <v>5</v>
      </c>
      <c r="BB44" s="62">
        <v>12</v>
      </c>
      <c r="BC44" s="54" t="s">
        <v>412</v>
      </c>
      <c r="BD44" s="54" t="s">
        <v>391</v>
      </c>
      <c r="BE44" s="54" t="s">
        <v>391</v>
      </c>
      <c r="BF44" s="54" t="s">
        <v>391</v>
      </c>
      <c r="BG44" s="54" t="s">
        <v>391</v>
      </c>
      <c r="BH44" s="54" t="s">
        <v>391</v>
      </c>
      <c r="BI44" s="54" t="s">
        <v>391</v>
      </c>
      <c r="BJ44" s="54" t="s">
        <v>391</v>
      </c>
      <c r="BK44" s="54" t="s">
        <v>391</v>
      </c>
      <c r="BL44" s="53" t="s">
        <v>412</v>
      </c>
      <c r="BM44" s="54" t="s">
        <v>392</v>
      </c>
      <c r="BN44" s="54" t="s">
        <v>393</v>
      </c>
      <c r="BO44" s="54" t="s">
        <v>393</v>
      </c>
      <c r="BP44" s="54" t="s">
        <v>392</v>
      </c>
      <c r="BQ44" s="54" t="s">
        <v>392</v>
      </c>
      <c r="BR44" s="54" t="s">
        <v>392</v>
      </c>
      <c r="BS44" s="54" t="s">
        <v>392</v>
      </c>
      <c r="BT44" s="63" t="s">
        <v>393</v>
      </c>
      <c r="BU44" s="53" t="s">
        <v>412</v>
      </c>
      <c r="BV44" s="54" t="s">
        <v>392</v>
      </c>
      <c r="BW44" s="54" t="s">
        <v>392</v>
      </c>
      <c r="BX44" s="54" t="s">
        <v>392</v>
      </c>
      <c r="BY44" s="54" t="s">
        <v>392</v>
      </c>
      <c r="BZ44" s="54" t="s">
        <v>392</v>
      </c>
      <c r="CA44" s="54" t="s">
        <v>392</v>
      </c>
      <c r="CB44" s="54" t="s">
        <v>392</v>
      </c>
      <c r="CC44" s="54" t="s">
        <v>392</v>
      </c>
      <c r="CD44" s="57" t="s">
        <v>412</v>
      </c>
      <c r="CE44" s="51" t="s">
        <v>412</v>
      </c>
      <c r="CF44" s="51" t="s">
        <v>394</v>
      </c>
      <c r="CG44" s="51" t="s">
        <v>392</v>
      </c>
      <c r="CH44" s="51" t="s">
        <v>392</v>
      </c>
      <c r="CI44" s="51" t="s">
        <v>392</v>
      </c>
      <c r="CJ44" s="51" t="s">
        <v>392</v>
      </c>
      <c r="CK44" s="51" t="s">
        <v>402</v>
      </c>
      <c r="CL44" s="51" t="s">
        <v>402</v>
      </c>
      <c r="CM44" s="51" t="s">
        <v>402</v>
      </c>
      <c r="CN44" s="57"/>
      <c r="CO44" s="51"/>
      <c r="CP44" s="51" t="s">
        <v>396</v>
      </c>
      <c r="CQ44" s="51" t="s">
        <v>404</v>
      </c>
      <c r="CR44" s="51" t="s">
        <v>396</v>
      </c>
      <c r="CS44" s="51" t="s">
        <v>396</v>
      </c>
      <c r="CT44" s="51" t="s">
        <v>396</v>
      </c>
      <c r="CU44" s="51" t="s">
        <v>396</v>
      </c>
      <c r="CV44" s="51" t="s">
        <v>396</v>
      </c>
      <c r="CW44" s="57" t="s">
        <v>391</v>
      </c>
      <c r="CX44" s="51" t="s">
        <v>398</v>
      </c>
      <c r="CY44" s="51" t="s">
        <v>391</v>
      </c>
      <c r="CZ44" s="64" t="str">
        <f>IF(_xlfn.XLOOKUP(B44,[2]累计数据!$C$193:$C$245,[2]累计数据!$C$193:$C$245,"N")=B44,"Y","N")</f>
        <v>N</v>
      </c>
      <c r="DA44" s="58">
        <v>0.02</v>
      </c>
      <c r="DB44" s="59">
        <v>0.02</v>
      </c>
      <c r="DC44" s="59">
        <v>0.02</v>
      </c>
      <c r="DD44" s="65"/>
      <c r="DE44"/>
      <c r="DF44"/>
      <c r="DG44"/>
      <c r="DH44"/>
      <c r="DI44"/>
      <c r="DJ44" s="3"/>
    </row>
    <row r="45" customFormat="1" ht="22.5" customHeight="1" spans="1:114">
      <c r="A45" s="46">
        <v>12307</v>
      </c>
      <c r="B45" s="47" t="s">
        <v>131</v>
      </c>
      <c r="C45" s="48">
        <v>46097</v>
      </c>
      <c r="D45" s="49">
        <f>IF(_xlfn.XLOOKUP(A45,[1]分配表!J:J,[1]分配表!M:M)=0,"未出单",_xlfn.XLOOKUP(A45,[1]分配表!J:J,[1]分配表!M:M))</f>
        <v>46103</v>
      </c>
      <c r="E45" s="50" t="str">
        <f>_xlfn.XLOOKUP(A45,[1]分配表!A:A,[1]分配表!C:C)</f>
        <v>俞东旭</v>
      </c>
      <c r="F45" s="50" t="s">
        <v>44</v>
      </c>
      <c r="G45" s="50" t="s">
        <v>34</v>
      </c>
      <c r="H45" s="51">
        <v>0</v>
      </c>
      <c r="I45" s="51">
        <v>0</v>
      </c>
      <c r="J45" s="51">
        <v>1</v>
      </c>
      <c r="K45" s="51">
        <v>4</v>
      </c>
      <c r="L45" s="51">
        <v>1</v>
      </c>
      <c r="M45" s="51">
        <v>1</v>
      </c>
      <c r="N45" s="51">
        <v>1</v>
      </c>
      <c r="O45" s="51">
        <v>3</v>
      </c>
      <c r="P45" s="51">
        <v>0</v>
      </c>
      <c r="Q45" s="52">
        <f t="shared" si="0"/>
        <v>-3</v>
      </c>
      <c r="R45" s="53">
        <v>0</v>
      </c>
      <c r="S45" s="54">
        <v>0</v>
      </c>
      <c r="T45" s="54">
        <v>550</v>
      </c>
      <c r="U45" s="54">
        <v>2200</v>
      </c>
      <c r="V45" s="54">
        <v>580</v>
      </c>
      <c r="W45" s="54">
        <v>580</v>
      </c>
      <c r="X45" s="54">
        <v>580</v>
      </c>
      <c r="Y45" s="55">
        <v>1740</v>
      </c>
      <c r="Z45" s="56">
        <v>0</v>
      </c>
      <c r="AA45" s="54">
        <f t="shared" si="1"/>
        <v>-1740</v>
      </c>
      <c r="AB45" s="57">
        <v>0</v>
      </c>
      <c r="AC45" s="51">
        <v>0</v>
      </c>
      <c r="AD45" s="51">
        <v>2</v>
      </c>
      <c r="AE45" s="51">
        <v>0</v>
      </c>
      <c r="AF45" s="51">
        <v>0</v>
      </c>
      <c r="AG45" s="51">
        <v>3</v>
      </c>
      <c r="AH45" s="51">
        <v>1</v>
      </c>
      <c r="AI45" s="51">
        <v>0</v>
      </c>
      <c r="AJ45" s="51">
        <v>2</v>
      </c>
      <c r="AK45" s="58" t="s">
        <v>390</v>
      </c>
      <c r="AL45" s="59" t="s">
        <v>390</v>
      </c>
      <c r="AM45" s="59">
        <v>0.333333333333333</v>
      </c>
      <c r="AN45" s="59">
        <v>1</v>
      </c>
      <c r="AO45" s="59">
        <v>1</v>
      </c>
      <c r="AP45" s="59">
        <v>0.25</v>
      </c>
      <c r="AQ45" s="59">
        <v>0.6667</v>
      </c>
      <c r="AR45" s="59">
        <v>1</v>
      </c>
      <c r="AS45" s="59">
        <v>0</v>
      </c>
      <c r="AT45" s="60" t="s">
        <v>412</v>
      </c>
      <c r="AU45" s="61">
        <v>1</v>
      </c>
      <c r="AV45" s="61">
        <v>8</v>
      </c>
      <c r="AW45" s="61">
        <v>1</v>
      </c>
      <c r="AX45" s="61">
        <v>7</v>
      </c>
      <c r="AY45" s="61">
        <v>5</v>
      </c>
      <c r="AZ45" s="61">
        <v>0</v>
      </c>
      <c r="BA45" s="61">
        <v>7</v>
      </c>
      <c r="BB45" s="62">
        <v>1</v>
      </c>
      <c r="BC45" s="54" t="s">
        <v>412</v>
      </c>
      <c r="BD45" s="54" t="s">
        <v>120</v>
      </c>
      <c r="BE45" s="54" t="s">
        <v>391</v>
      </c>
      <c r="BF45" s="54" t="s">
        <v>391</v>
      </c>
      <c r="BG45" s="54" t="s">
        <v>391</v>
      </c>
      <c r="BH45" s="54" t="s">
        <v>391</v>
      </c>
      <c r="BI45" s="54" t="s">
        <v>391</v>
      </c>
      <c r="BJ45" s="54" t="s">
        <v>391</v>
      </c>
      <c r="BK45" s="54" t="s">
        <v>391</v>
      </c>
      <c r="BL45" s="53" t="s">
        <v>412</v>
      </c>
      <c r="BM45" s="54" t="s">
        <v>392</v>
      </c>
      <c r="BN45" s="54" t="s">
        <v>393</v>
      </c>
      <c r="BO45" s="54" t="s">
        <v>392</v>
      </c>
      <c r="BP45" s="54" t="s">
        <v>392</v>
      </c>
      <c r="BQ45" s="54" t="s">
        <v>392</v>
      </c>
      <c r="BR45" s="54" t="s">
        <v>392</v>
      </c>
      <c r="BS45" s="54" t="s">
        <v>392</v>
      </c>
      <c r="BT45" s="63" t="s">
        <v>392</v>
      </c>
      <c r="BU45" s="53" t="s">
        <v>412</v>
      </c>
      <c r="BV45" s="54" t="s">
        <v>392</v>
      </c>
      <c r="BW45" s="54" t="s">
        <v>392</v>
      </c>
      <c r="BX45" s="54" t="s">
        <v>392</v>
      </c>
      <c r="BY45" s="54" t="s">
        <v>392</v>
      </c>
      <c r="BZ45" s="54" t="s">
        <v>392</v>
      </c>
      <c r="CA45" s="54" t="s">
        <v>392</v>
      </c>
      <c r="CB45" s="54" t="s">
        <v>392</v>
      </c>
      <c r="CC45" s="54" t="s">
        <v>392</v>
      </c>
      <c r="CD45" s="57" t="s">
        <v>412</v>
      </c>
      <c r="CE45" s="51" t="s">
        <v>412</v>
      </c>
      <c r="CF45" s="51" t="s">
        <v>394</v>
      </c>
      <c r="CG45" s="51" t="s">
        <v>402</v>
      </c>
      <c r="CH45" s="51" t="s">
        <v>402</v>
      </c>
      <c r="CI45" s="51" t="s">
        <v>392</v>
      </c>
      <c r="CJ45" s="51" t="s">
        <v>402</v>
      </c>
      <c r="CK45" s="51" t="s">
        <v>402</v>
      </c>
      <c r="CL45" s="51" t="s">
        <v>392</v>
      </c>
      <c r="CM45" s="51" t="s">
        <v>402</v>
      </c>
      <c r="CN45" s="57"/>
      <c r="CO45" s="51"/>
      <c r="CP45" s="51" t="s">
        <v>396</v>
      </c>
      <c r="CQ45" s="51" t="s">
        <v>396</v>
      </c>
      <c r="CR45" s="51" t="s">
        <v>396</v>
      </c>
      <c r="CS45" s="51" t="s">
        <v>396</v>
      </c>
      <c r="CT45" s="51" t="s">
        <v>396</v>
      </c>
      <c r="CU45" s="51" t="s">
        <v>396</v>
      </c>
      <c r="CV45" s="51" t="s">
        <v>396</v>
      </c>
      <c r="CW45" s="57" t="s">
        <v>391</v>
      </c>
      <c r="CX45" s="51" t="s">
        <v>398</v>
      </c>
      <c r="CY45" s="51" t="s">
        <v>391</v>
      </c>
      <c r="CZ45" s="64" t="str">
        <f>IF(_xlfn.XLOOKUP(B45,[2]累计数据!$C$193:$C$245,[2]累计数据!$C$193:$C$245,"N")=B45,"Y","N")</f>
        <v>N</v>
      </c>
      <c r="DA45" s="58">
        <v>0.02</v>
      </c>
      <c r="DB45" s="59">
        <v>0.02</v>
      </c>
      <c r="DC45" s="59">
        <v>0.02</v>
      </c>
      <c r="DD45" s="65"/>
      <c r="DE45"/>
      <c r="DF45"/>
      <c r="DG45"/>
      <c r="DH45"/>
      <c r="DI45"/>
      <c r="DJ45" s="3"/>
    </row>
    <row r="46" customFormat="1" ht="22.5" customHeight="1" spans="1:114">
      <c r="A46" s="46">
        <v>12308</v>
      </c>
      <c r="B46" s="47" t="s">
        <v>57</v>
      </c>
      <c r="C46" s="48">
        <v>46097</v>
      </c>
      <c r="D46" s="49">
        <f>IF(_xlfn.XLOOKUP(A46,[1]分配表!J:J,[1]分配表!M:M)=0,"未出单",_xlfn.XLOOKUP(A46,[1]分配表!J:J,[1]分配表!M:M))</f>
        <v>46099</v>
      </c>
      <c r="E46" s="50" t="str">
        <f>_xlfn.XLOOKUP(A46,[1]分配表!A:A,[1]分配表!C:C)</f>
        <v>俞东旭</v>
      </c>
      <c r="F46" s="50" t="s">
        <v>44</v>
      </c>
      <c r="G46" s="50" t="s">
        <v>34</v>
      </c>
      <c r="H46" s="51">
        <v>0</v>
      </c>
      <c r="I46" s="51">
        <v>3</v>
      </c>
      <c r="J46" s="51">
        <v>4</v>
      </c>
      <c r="K46" s="51">
        <v>4</v>
      </c>
      <c r="L46" s="51">
        <v>3</v>
      </c>
      <c r="M46" s="51">
        <v>4</v>
      </c>
      <c r="N46" s="51">
        <v>4</v>
      </c>
      <c r="O46" s="51">
        <v>1</v>
      </c>
      <c r="P46" s="51">
        <v>0</v>
      </c>
      <c r="Q46" s="52">
        <f t="shared" si="0"/>
        <v>-1</v>
      </c>
      <c r="R46" s="53">
        <v>0</v>
      </c>
      <c r="S46" s="54">
        <v>1650</v>
      </c>
      <c r="T46" s="54">
        <v>2200</v>
      </c>
      <c r="U46" s="54">
        <v>2200</v>
      </c>
      <c r="V46" s="54">
        <v>1749</v>
      </c>
      <c r="W46" s="54">
        <v>2332</v>
      </c>
      <c r="X46" s="54">
        <v>2342</v>
      </c>
      <c r="Y46" s="55">
        <v>588</v>
      </c>
      <c r="Z46" s="56">
        <v>0</v>
      </c>
      <c r="AA46" s="54">
        <f t="shared" si="1"/>
        <v>-588</v>
      </c>
      <c r="AB46" s="57">
        <v>0</v>
      </c>
      <c r="AC46" s="51">
        <v>0</v>
      </c>
      <c r="AD46" s="51">
        <v>0</v>
      </c>
      <c r="AE46" s="51">
        <v>4</v>
      </c>
      <c r="AF46" s="51">
        <v>1</v>
      </c>
      <c r="AG46" s="51">
        <v>3</v>
      </c>
      <c r="AH46" s="51">
        <v>3</v>
      </c>
      <c r="AI46" s="51">
        <v>1</v>
      </c>
      <c r="AJ46" s="51">
        <v>1</v>
      </c>
      <c r="AK46" s="58" t="s">
        <v>390</v>
      </c>
      <c r="AL46" s="59" t="s">
        <v>390</v>
      </c>
      <c r="AM46" s="59">
        <v>1</v>
      </c>
      <c r="AN46" s="59">
        <v>0.5</v>
      </c>
      <c r="AO46" s="59">
        <v>0.75</v>
      </c>
      <c r="AP46" s="59">
        <v>0.571428571428571</v>
      </c>
      <c r="AQ46" s="59">
        <v>0.5</v>
      </c>
      <c r="AR46" s="59">
        <v>0.75</v>
      </c>
      <c r="AS46" s="59">
        <v>0</v>
      </c>
      <c r="AT46" s="60" t="s">
        <v>412</v>
      </c>
      <c r="AU46" s="61">
        <v>1</v>
      </c>
      <c r="AV46" s="61">
        <v>8</v>
      </c>
      <c r="AW46" s="61">
        <v>16</v>
      </c>
      <c r="AX46" s="61">
        <v>0</v>
      </c>
      <c r="AY46" s="61">
        <v>8</v>
      </c>
      <c r="AZ46" s="61">
        <v>1</v>
      </c>
      <c r="BA46" s="61">
        <v>1</v>
      </c>
      <c r="BB46" s="62">
        <v>8</v>
      </c>
      <c r="BC46" s="54" t="s">
        <v>412</v>
      </c>
      <c r="BD46" s="54" t="s">
        <v>391</v>
      </c>
      <c r="BE46" s="54" t="s">
        <v>391</v>
      </c>
      <c r="BF46" s="54" t="s">
        <v>391</v>
      </c>
      <c r="BG46" s="54" t="s">
        <v>391</v>
      </c>
      <c r="BH46" s="54" t="s">
        <v>391</v>
      </c>
      <c r="BI46" s="54" t="s">
        <v>391</v>
      </c>
      <c r="BJ46" s="54" t="s">
        <v>391</v>
      </c>
      <c r="BK46" s="54" t="s">
        <v>391</v>
      </c>
      <c r="BL46" s="53" t="s">
        <v>412</v>
      </c>
      <c r="BM46" s="54" t="s">
        <v>392</v>
      </c>
      <c r="BN46" s="54" t="s">
        <v>393</v>
      </c>
      <c r="BO46" s="54" t="s">
        <v>393</v>
      </c>
      <c r="BP46" s="54" t="s">
        <v>392</v>
      </c>
      <c r="BQ46" s="54" t="s">
        <v>393</v>
      </c>
      <c r="BR46" s="54" t="s">
        <v>392</v>
      </c>
      <c r="BS46" s="54" t="s">
        <v>392</v>
      </c>
      <c r="BT46" s="63" t="s">
        <v>393</v>
      </c>
      <c r="BU46" s="53" t="s">
        <v>412</v>
      </c>
      <c r="BV46" s="54" t="s">
        <v>392</v>
      </c>
      <c r="BW46" s="54" t="s">
        <v>392</v>
      </c>
      <c r="BX46" s="54" t="s">
        <v>392</v>
      </c>
      <c r="BY46" s="54" t="s">
        <v>392</v>
      </c>
      <c r="BZ46" s="54" t="s">
        <v>392</v>
      </c>
      <c r="CA46" s="54" t="s">
        <v>392</v>
      </c>
      <c r="CB46" s="54" t="s">
        <v>392</v>
      </c>
      <c r="CC46" s="54" t="s">
        <v>392</v>
      </c>
      <c r="CD46" s="57" t="s">
        <v>412</v>
      </c>
      <c r="CE46" s="51" t="s">
        <v>412</v>
      </c>
      <c r="CF46" s="51" t="s">
        <v>394</v>
      </c>
      <c r="CG46" s="51" t="s">
        <v>392</v>
      </c>
      <c r="CH46" s="51" t="s">
        <v>392</v>
      </c>
      <c r="CI46" s="51" t="s">
        <v>392</v>
      </c>
      <c r="CJ46" s="51" t="s">
        <v>392</v>
      </c>
      <c r="CK46" s="51" t="s">
        <v>402</v>
      </c>
      <c r="CL46" s="51" t="s">
        <v>392</v>
      </c>
      <c r="CM46" s="51" t="s">
        <v>402</v>
      </c>
      <c r="CN46" s="57"/>
      <c r="CO46" s="51"/>
      <c r="CP46" s="51" t="s">
        <v>396</v>
      </c>
      <c r="CQ46" s="51" t="s">
        <v>400</v>
      </c>
      <c r="CR46" s="51" t="s">
        <v>396</v>
      </c>
      <c r="CS46" s="51" t="s">
        <v>396</v>
      </c>
      <c r="CT46" s="51" t="s">
        <v>404</v>
      </c>
      <c r="CU46" s="51" t="s">
        <v>396</v>
      </c>
      <c r="CV46" s="51" t="s">
        <v>396</v>
      </c>
      <c r="CW46" s="57" t="s">
        <v>391</v>
      </c>
      <c r="CX46" s="51" t="s">
        <v>398</v>
      </c>
      <c r="CY46" s="51" t="s">
        <v>391</v>
      </c>
      <c r="CZ46" s="64" t="str">
        <f>IF(_xlfn.XLOOKUP(B46,[2]累计数据!$C$193:$C$245,[2]累计数据!$C$193:$C$245,"N")=B46,"Y","N")</f>
        <v>N</v>
      </c>
      <c r="DA46" s="58">
        <v>0.02</v>
      </c>
      <c r="DB46" s="59">
        <v>0.02</v>
      </c>
      <c r="DC46" s="59">
        <v>0.02</v>
      </c>
      <c r="DD46" s="65"/>
      <c r="DE46"/>
      <c r="DF46"/>
      <c r="DG46"/>
      <c r="DH46"/>
      <c r="DI46"/>
      <c r="DJ46" s="3"/>
    </row>
    <row r="47" customFormat="1" ht="22.5" customHeight="1" spans="1:114">
      <c r="A47" s="46">
        <v>12293</v>
      </c>
      <c r="B47" s="47" t="s">
        <v>431</v>
      </c>
      <c r="C47" s="48">
        <v>46099</v>
      </c>
      <c r="D47" s="49">
        <f>IF(_xlfn.XLOOKUP(A47,[1]分配表!J:J,[1]分配表!M:M)=0,"未出单",_xlfn.XLOOKUP(A47,[1]分配表!J:J,[1]分配表!M:M))</f>
        <v>46104</v>
      </c>
      <c r="E47" s="50" t="str">
        <f>_xlfn.XLOOKUP(A47,[1]分配表!A:A,[1]分配表!C:C)</f>
        <v>朱培源</v>
      </c>
      <c r="F47" s="50" t="s">
        <v>44</v>
      </c>
      <c r="G47" s="50" t="s">
        <v>34</v>
      </c>
      <c r="H47" s="51">
        <v>0</v>
      </c>
      <c r="I47" s="51">
        <v>0</v>
      </c>
      <c r="J47" s="51">
        <v>1</v>
      </c>
      <c r="K47" s="51">
        <v>0</v>
      </c>
      <c r="L47" s="51">
        <v>1</v>
      </c>
      <c r="M47" s="51">
        <v>0</v>
      </c>
      <c r="N47" s="51">
        <v>0</v>
      </c>
      <c r="O47" s="51">
        <v>2</v>
      </c>
      <c r="P47" s="51">
        <v>0</v>
      </c>
      <c r="Q47" s="52">
        <f t="shared" si="0"/>
        <v>-2</v>
      </c>
      <c r="R47" s="53">
        <v>0</v>
      </c>
      <c r="S47" s="54">
        <v>0</v>
      </c>
      <c r="T47" s="54">
        <v>55</v>
      </c>
      <c r="U47" s="54">
        <v>0</v>
      </c>
      <c r="V47" s="54">
        <v>52.25</v>
      </c>
      <c r="W47" s="54">
        <v>0</v>
      </c>
      <c r="X47" s="54">
        <v>0</v>
      </c>
      <c r="Y47" s="55">
        <v>110</v>
      </c>
      <c r="Z47" s="56">
        <v>0</v>
      </c>
      <c r="AA47" s="54">
        <f t="shared" si="1"/>
        <v>-110</v>
      </c>
      <c r="AB47" s="57">
        <v>0</v>
      </c>
      <c r="AC47" s="51">
        <v>0</v>
      </c>
      <c r="AD47" s="51">
        <v>0</v>
      </c>
      <c r="AE47" s="51">
        <v>1</v>
      </c>
      <c r="AF47" s="51">
        <v>0</v>
      </c>
      <c r="AG47" s="51">
        <v>2</v>
      </c>
      <c r="AH47" s="51">
        <v>0</v>
      </c>
      <c r="AI47" s="51">
        <v>0</v>
      </c>
      <c r="AJ47" s="51">
        <v>0</v>
      </c>
      <c r="AK47" s="58" t="s">
        <v>390</v>
      </c>
      <c r="AL47" s="59" t="s">
        <v>390</v>
      </c>
      <c r="AM47" s="59">
        <v>1</v>
      </c>
      <c r="AN47" s="59">
        <v>0</v>
      </c>
      <c r="AO47" s="59">
        <v>1</v>
      </c>
      <c r="AP47" s="59">
        <v>0</v>
      </c>
      <c r="AQ47" s="59" t="s">
        <v>390</v>
      </c>
      <c r="AR47" s="59">
        <v>1</v>
      </c>
      <c r="AS47" s="59" t="s">
        <v>390</v>
      </c>
      <c r="AT47" s="60" t="s">
        <v>412</v>
      </c>
      <c r="AU47" s="61" t="s">
        <v>412</v>
      </c>
      <c r="AV47" s="61">
        <v>2</v>
      </c>
      <c r="AW47" s="61">
        <v>1</v>
      </c>
      <c r="AX47" s="61">
        <v>7</v>
      </c>
      <c r="AY47" s="61">
        <v>15</v>
      </c>
      <c r="AZ47" s="61">
        <v>1</v>
      </c>
      <c r="BA47" s="61">
        <v>8</v>
      </c>
      <c r="BB47" s="62">
        <v>15</v>
      </c>
      <c r="BC47" s="54" t="s">
        <v>412</v>
      </c>
      <c r="BD47" s="54" t="s">
        <v>412</v>
      </c>
      <c r="BE47" s="54" t="s">
        <v>391</v>
      </c>
      <c r="BF47" s="54" t="s">
        <v>391</v>
      </c>
      <c r="BG47" s="54" t="s">
        <v>391</v>
      </c>
      <c r="BH47" s="54" t="s">
        <v>391</v>
      </c>
      <c r="BI47" s="54" t="s">
        <v>391</v>
      </c>
      <c r="BJ47" s="54" t="s">
        <v>391</v>
      </c>
      <c r="BK47" s="54" t="s">
        <v>391</v>
      </c>
      <c r="BL47" s="53" t="s">
        <v>412</v>
      </c>
      <c r="BM47" s="54" t="s">
        <v>412</v>
      </c>
      <c r="BN47" s="54" t="s">
        <v>392</v>
      </c>
      <c r="BO47" s="54" t="s">
        <v>392</v>
      </c>
      <c r="BP47" s="54" t="s">
        <v>392</v>
      </c>
      <c r="BQ47" s="54" t="s">
        <v>393</v>
      </c>
      <c r="BR47" s="54" t="s">
        <v>392</v>
      </c>
      <c r="BS47" s="54" t="s">
        <v>392</v>
      </c>
      <c r="BT47" s="63" t="s">
        <v>392</v>
      </c>
      <c r="BU47" s="53" t="s">
        <v>412</v>
      </c>
      <c r="BV47" s="54" t="s">
        <v>412</v>
      </c>
      <c r="BW47" s="54" t="s">
        <v>392</v>
      </c>
      <c r="BX47" s="54" t="s">
        <v>392</v>
      </c>
      <c r="BY47" s="54" t="s">
        <v>392</v>
      </c>
      <c r="BZ47" s="54" t="s">
        <v>392</v>
      </c>
      <c r="CA47" s="54" t="s">
        <v>392</v>
      </c>
      <c r="CB47" s="54" t="s">
        <v>392</v>
      </c>
      <c r="CC47" s="54" t="s">
        <v>392</v>
      </c>
      <c r="CD47" s="57" t="s">
        <v>412</v>
      </c>
      <c r="CE47" s="51" t="s">
        <v>412</v>
      </c>
      <c r="CF47" s="51" t="s">
        <v>412</v>
      </c>
      <c r="CG47" s="51" t="s">
        <v>392</v>
      </c>
      <c r="CH47" s="51" t="s">
        <v>402</v>
      </c>
      <c r="CI47" s="51" t="s">
        <v>392</v>
      </c>
      <c r="CJ47" s="51" t="s">
        <v>402</v>
      </c>
      <c r="CK47" s="51" t="s">
        <v>394</v>
      </c>
      <c r="CL47" s="51" t="s">
        <v>392</v>
      </c>
      <c r="CM47" s="51" t="s">
        <v>394</v>
      </c>
      <c r="CN47" s="57"/>
      <c r="CO47" s="51"/>
      <c r="CP47" s="51" t="s">
        <v>412</v>
      </c>
      <c r="CQ47" s="51" t="s">
        <v>396</v>
      </c>
      <c r="CR47" s="51" t="s">
        <v>396</v>
      </c>
      <c r="CS47" s="51" t="s">
        <v>396</v>
      </c>
      <c r="CT47" s="51" t="s">
        <v>400</v>
      </c>
      <c r="CU47" s="51" t="s">
        <v>396</v>
      </c>
      <c r="CV47" s="51" t="s">
        <v>396</v>
      </c>
      <c r="CW47" s="57" t="s">
        <v>398</v>
      </c>
      <c r="CX47" s="51" t="s">
        <v>398</v>
      </c>
      <c r="CY47" s="51" t="s">
        <v>398</v>
      </c>
      <c r="CZ47" s="64" t="str">
        <f>IF(_xlfn.XLOOKUP(B47,[2]累计数据!$C$193:$C$245,[2]累计数据!$C$193:$C$245,"N")=B47,"Y","N")</f>
        <v>N</v>
      </c>
      <c r="DA47" s="58">
        <v>0.05</v>
      </c>
      <c r="DB47" s="59">
        <v>0.05</v>
      </c>
      <c r="DC47" s="59">
        <v>0.02</v>
      </c>
      <c r="DD47" s="65"/>
      <c r="DE47"/>
      <c r="DF47"/>
      <c r="DG47"/>
      <c r="DH47"/>
      <c r="DI47"/>
      <c r="DJ47" s="3"/>
    </row>
    <row r="48" customFormat="1" ht="22.5" customHeight="1" spans="1:114">
      <c r="A48" s="46">
        <v>12298</v>
      </c>
      <c r="B48" s="47" t="s">
        <v>432</v>
      </c>
      <c r="C48" s="48">
        <v>46099</v>
      </c>
      <c r="D48" s="49" t="str">
        <f>IF(_xlfn.XLOOKUP(A48,[1]分配表!J:J,[1]分配表!M:M)=0,"未出单",_xlfn.XLOOKUP(A48,[1]分配表!J:J,[1]分配表!M:M))</f>
        <v>未出单</v>
      </c>
      <c r="E48" s="50" t="str">
        <f>_xlfn.XLOOKUP(A48,[1]分配表!A:A,[1]分配表!C:C)</f>
        <v>朱培源</v>
      </c>
      <c r="F48" s="50" t="s">
        <v>44</v>
      </c>
      <c r="G48" s="50" t="s">
        <v>45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2">
        <f t="shared" si="0"/>
        <v>0</v>
      </c>
      <c r="R48" s="53">
        <v>0</v>
      </c>
      <c r="S48" s="54">
        <v>0</v>
      </c>
      <c r="T48" s="54">
        <v>0</v>
      </c>
      <c r="U48" s="54">
        <v>0</v>
      </c>
      <c r="V48" s="54">
        <v>0</v>
      </c>
      <c r="W48" s="54">
        <v>0</v>
      </c>
      <c r="X48" s="54">
        <v>0</v>
      </c>
      <c r="Y48" s="55">
        <v>0</v>
      </c>
      <c r="Z48" s="56">
        <v>0</v>
      </c>
      <c r="AA48" s="54">
        <f t="shared" si="1"/>
        <v>0</v>
      </c>
      <c r="AB48" s="57">
        <v>0</v>
      </c>
      <c r="AC48" s="51">
        <v>0</v>
      </c>
      <c r="AD48" s="51">
        <v>1</v>
      </c>
      <c r="AE48" s="51">
        <v>2</v>
      </c>
      <c r="AF48" s="51">
        <v>1</v>
      </c>
      <c r="AG48" s="51">
        <v>4</v>
      </c>
      <c r="AH48" s="51">
        <v>0</v>
      </c>
      <c r="AI48" s="51">
        <v>0</v>
      </c>
      <c r="AJ48" s="51">
        <v>3</v>
      </c>
      <c r="AK48" s="58" t="s">
        <v>390</v>
      </c>
      <c r="AL48" s="59" t="s">
        <v>390</v>
      </c>
      <c r="AM48" s="59">
        <v>0</v>
      </c>
      <c r="AN48" s="59">
        <v>0</v>
      </c>
      <c r="AO48" s="59">
        <v>0</v>
      </c>
      <c r="AP48" s="59">
        <v>0</v>
      </c>
      <c r="AQ48" s="59" t="s">
        <v>390</v>
      </c>
      <c r="AR48" s="59" t="s">
        <v>390</v>
      </c>
      <c r="AS48" s="59">
        <v>0</v>
      </c>
      <c r="AT48" s="60" t="s">
        <v>412</v>
      </c>
      <c r="AU48" s="61" t="s">
        <v>412</v>
      </c>
      <c r="AV48" s="61">
        <v>2</v>
      </c>
      <c r="AW48" s="61">
        <v>1</v>
      </c>
      <c r="AX48" s="61">
        <v>7</v>
      </c>
      <c r="AY48" s="61">
        <v>6</v>
      </c>
      <c r="AZ48" s="61">
        <v>2</v>
      </c>
      <c r="BA48" s="61">
        <v>9</v>
      </c>
      <c r="BB48" s="62">
        <v>6</v>
      </c>
      <c r="BC48" s="54" t="s">
        <v>412</v>
      </c>
      <c r="BD48" s="54" t="s">
        <v>412</v>
      </c>
      <c r="BE48" s="54" t="s">
        <v>120</v>
      </c>
      <c r="BF48" s="54" t="s">
        <v>120</v>
      </c>
      <c r="BG48" s="54" t="s">
        <v>120</v>
      </c>
      <c r="BH48" s="54" t="s">
        <v>120</v>
      </c>
      <c r="BI48" s="54" t="s">
        <v>120</v>
      </c>
      <c r="BJ48" s="54" t="s">
        <v>120</v>
      </c>
      <c r="BK48" s="54" t="s">
        <v>120</v>
      </c>
      <c r="BL48" s="53" t="s">
        <v>412</v>
      </c>
      <c r="BM48" s="54" t="s">
        <v>412</v>
      </c>
      <c r="BN48" s="54" t="s">
        <v>392</v>
      </c>
      <c r="BO48" s="54" t="s">
        <v>392</v>
      </c>
      <c r="BP48" s="54" t="s">
        <v>392</v>
      </c>
      <c r="BQ48" s="54" t="s">
        <v>392</v>
      </c>
      <c r="BR48" s="54" t="s">
        <v>392</v>
      </c>
      <c r="BS48" s="54" t="s">
        <v>392</v>
      </c>
      <c r="BT48" s="63" t="s">
        <v>392</v>
      </c>
      <c r="BU48" s="53" t="s">
        <v>412</v>
      </c>
      <c r="BV48" s="54" t="s">
        <v>412</v>
      </c>
      <c r="BW48" s="54" t="s">
        <v>392</v>
      </c>
      <c r="BX48" s="54" t="s">
        <v>392</v>
      </c>
      <c r="BY48" s="54" t="s">
        <v>392</v>
      </c>
      <c r="BZ48" s="54" t="s">
        <v>392</v>
      </c>
      <c r="CA48" s="54" t="s">
        <v>392</v>
      </c>
      <c r="CB48" s="54" t="s">
        <v>392</v>
      </c>
      <c r="CC48" s="54" t="s">
        <v>392</v>
      </c>
      <c r="CD48" s="57" t="s">
        <v>412</v>
      </c>
      <c r="CE48" s="51" t="s">
        <v>412</v>
      </c>
      <c r="CF48" s="51" t="s">
        <v>412</v>
      </c>
      <c r="CG48" s="51" t="s">
        <v>394</v>
      </c>
      <c r="CH48" s="51" t="s">
        <v>402</v>
      </c>
      <c r="CI48" s="51" t="s">
        <v>402</v>
      </c>
      <c r="CJ48" s="51" t="s">
        <v>402</v>
      </c>
      <c r="CK48" s="51" t="s">
        <v>394</v>
      </c>
      <c r="CL48" s="51" t="s">
        <v>394</v>
      </c>
      <c r="CM48" s="51" t="s">
        <v>402</v>
      </c>
      <c r="CN48" s="57"/>
      <c r="CO48" s="51"/>
      <c r="CP48" s="51" t="s">
        <v>412</v>
      </c>
      <c r="CQ48" s="51" t="s">
        <v>397</v>
      </c>
      <c r="CR48" s="51" t="s">
        <v>433</v>
      </c>
      <c r="CS48" s="51" t="s">
        <v>433</v>
      </c>
      <c r="CT48" s="51" t="s">
        <v>404</v>
      </c>
      <c r="CU48" s="51" t="s">
        <v>400</v>
      </c>
      <c r="CV48" s="51" t="s">
        <v>403</v>
      </c>
      <c r="CW48" s="57" t="s">
        <v>398</v>
      </c>
      <c r="CX48" s="51" t="s">
        <v>398</v>
      </c>
      <c r="CY48" s="51" t="s">
        <v>398</v>
      </c>
      <c r="CZ48" s="64" t="str">
        <f>IF(_xlfn.XLOOKUP(B48,[2]累计数据!$C$193:$C$245,[2]累计数据!$C$193:$C$245,"N")=B48,"Y","N")</f>
        <v>N</v>
      </c>
      <c r="DA48" s="58">
        <v>0.05</v>
      </c>
      <c r="DB48" s="59">
        <v>0.04</v>
      </c>
      <c r="DC48" s="59">
        <v>0.02</v>
      </c>
      <c r="DD48" s="65"/>
      <c r="DE48"/>
      <c r="DF48"/>
      <c r="DG48"/>
      <c r="DH48"/>
      <c r="DI48"/>
      <c r="DJ48" s="3"/>
    </row>
    <row r="49" customFormat="1" ht="22.5" customHeight="1" spans="1:114">
      <c r="A49" s="46">
        <v>12299</v>
      </c>
      <c r="B49" s="47" t="s">
        <v>434</v>
      </c>
      <c r="C49" s="48">
        <v>46099</v>
      </c>
      <c r="D49" s="49">
        <f>IF(_xlfn.XLOOKUP(A49,[1]分配表!J:J,[1]分配表!M:M)=0,"未出单",_xlfn.XLOOKUP(A49,[1]分配表!J:J,[1]分配表!M:M))</f>
        <v>46119</v>
      </c>
      <c r="E49" s="50" t="str">
        <f>_xlfn.XLOOKUP(A49,[1]分配表!A:A,[1]分配表!C:C)</f>
        <v>朱培源</v>
      </c>
      <c r="F49" s="50" t="s">
        <v>44</v>
      </c>
      <c r="G49" s="50" t="s">
        <v>45</v>
      </c>
      <c r="H49" s="51">
        <v>0</v>
      </c>
      <c r="I49" s="51">
        <v>0</v>
      </c>
      <c r="J49" s="51">
        <v>0</v>
      </c>
      <c r="K49" s="51">
        <v>0</v>
      </c>
      <c r="L49" s="51">
        <v>2</v>
      </c>
      <c r="M49" s="51">
        <v>3</v>
      </c>
      <c r="N49" s="51">
        <v>0</v>
      </c>
      <c r="O49" s="51">
        <v>0</v>
      </c>
      <c r="P49" s="51">
        <v>0</v>
      </c>
      <c r="Q49" s="52">
        <f t="shared" si="0"/>
        <v>0</v>
      </c>
      <c r="R49" s="53">
        <v>0</v>
      </c>
      <c r="S49" s="54">
        <v>0</v>
      </c>
      <c r="T49" s="54">
        <v>0</v>
      </c>
      <c r="U49" s="54">
        <v>0</v>
      </c>
      <c r="V49" s="54">
        <v>52.84</v>
      </c>
      <c r="W49" s="54">
        <v>79.26</v>
      </c>
      <c r="X49" s="54">
        <v>0</v>
      </c>
      <c r="Y49" s="55">
        <v>0</v>
      </c>
      <c r="Z49" s="56">
        <v>0</v>
      </c>
      <c r="AA49" s="54">
        <f t="shared" si="1"/>
        <v>0</v>
      </c>
      <c r="AB49" s="57">
        <v>0</v>
      </c>
      <c r="AC49" s="51">
        <v>0</v>
      </c>
      <c r="AD49" s="51">
        <v>1</v>
      </c>
      <c r="AE49" s="51">
        <v>4</v>
      </c>
      <c r="AF49" s="51">
        <v>0</v>
      </c>
      <c r="AG49" s="51">
        <v>1</v>
      </c>
      <c r="AH49" s="51">
        <v>2</v>
      </c>
      <c r="AI49" s="51">
        <v>2</v>
      </c>
      <c r="AJ49" s="51">
        <v>1</v>
      </c>
      <c r="AK49" s="58" t="s">
        <v>390</v>
      </c>
      <c r="AL49" s="59" t="s">
        <v>390</v>
      </c>
      <c r="AM49" s="59">
        <v>0</v>
      </c>
      <c r="AN49" s="59">
        <v>0</v>
      </c>
      <c r="AO49" s="59">
        <v>1</v>
      </c>
      <c r="AP49" s="59">
        <v>0.75</v>
      </c>
      <c r="AQ49" s="59">
        <v>0</v>
      </c>
      <c r="AR49" s="59">
        <v>0</v>
      </c>
      <c r="AS49" s="59">
        <v>0</v>
      </c>
      <c r="AT49" s="60" t="s">
        <v>412</v>
      </c>
      <c r="AU49" s="61" t="s">
        <v>412</v>
      </c>
      <c r="AV49" s="61">
        <v>2</v>
      </c>
      <c r="AW49" s="61">
        <v>1</v>
      </c>
      <c r="AX49" s="61">
        <v>5</v>
      </c>
      <c r="AY49" s="61">
        <v>13</v>
      </c>
      <c r="AZ49" s="61">
        <v>1</v>
      </c>
      <c r="BA49" s="61">
        <v>8</v>
      </c>
      <c r="BB49" s="62">
        <v>15</v>
      </c>
      <c r="BC49" s="54" t="s">
        <v>412</v>
      </c>
      <c r="BD49" s="54" t="s">
        <v>412</v>
      </c>
      <c r="BE49" s="54" t="s">
        <v>120</v>
      </c>
      <c r="BF49" s="54" t="s">
        <v>120</v>
      </c>
      <c r="BG49" s="54" t="s">
        <v>398</v>
      </c>
      <c r="BH49" s="54" t="s">
        <v>398</v>
      </c>
      <c r="BI49" s="54" t="s">
        <v>398</v>
      </c>
      <c r="BJ49" s="54" t="s">
        <v>398</v>
      </c>
      <c r="BK49" s="54" t="s">
        <v>398</v>
      </c>
      <c r="BL49" s="53" t="s">
        <v>412</v>
      </c>
      <c r="BM49" s="54" t="s">
        <v>412</v>
      </c>
      <c r="BN49" s="54" t="s">
        <v>392</v>
      </c>
      <c r="BO49" s="54" t="s">
        <v>392</v>
      </c>
      <c r="BP49" s="54" t="s">
        <v>392</v>
      </c>
      <c r="BQ49" s="54" t="s">
        <v>393</v>
      </c>
      <c r="BR49" s="54" t="s">
        <v>392</v>
      </c>
      <c r="BS49" s="54" t="s">
        <v>393</v>
      </c>
      <c r="BT49" s="63" t="s">
        <v>393</v>
      </c>
      <c r="BU49" s="53" t="s">
        <v>412</v>
      </c>
      <c r="BV49" s="54" t="s">
        <v>412</v>
      </c>
      <c r="BW49" s="54" t="s">
        <v>392</v>
      </c>
      <c r="BX49" s="54" t="s">
        <v>392</v>
      </c>
      <c r="BY49" s="54" t="s">
        <v>392</v>
      </c>
      <c r="BZ49" s="54" t="s">
        <v>392</v>
      </c>
      <c r="CA49" s="54" t="s">
        <v>392</v>
      </c>
      <c r="CB49" s="54" t="s">
        <v>392</v>
      </c>
      <c r="CC49" s="54" t="s">
        <v>392</v>
      </c>
      <c r="CD49" s="57" t="s">
        <v>412</v>
      </c>
      <c r="CE49" s="51" t="s">
        <v>412</v>
      </c>
      <c r="CF49" s="51" t="s">
        <v>412</v>
      </c>
      <c r="CG49" s="51" t="s">
        <v>402</v>
      </c>
      <c r="CH49" s="51" t="s">
        <v>402</v>
      </c>
      <c r="CI49" s="51" t="s">
        <v>392</v>
      </c>
      <c r="CJ49" s="51" t="s">
        <v>392</v>
      </c>
      <c r="CK49" s="51" t="s">
        <v>402</v>
      </c>
      <c r="CL49" s="51" t="s">
        <v>402</v>
      </c>
      <c r="CM49" s="51" t="s">
        <v>402</v>
      </c>
      <c r="CN49" s="57"/>
      <c r="CO49" s="51"/>
      <c r="CP49" s="51" t="s">
        <v>412</v>
      </c>
      <c r="CQ49" s="51" t="s">
        <v>397</v>
      </c>
      <c r="CR49" s="51" t="s">
        <v>396</v>
      </c>
      <c r="CS49" s="51" t="s">
        <v>396</v>
      </c>
      <c r="CT49" s="51" t="s">
        <v>400</v>
      </c>
      <c r="CU49" s="51" t="s">
        <v>396</v>
      </c>
      <c r="CV49" s="51" t="s">
        <v>400</v>
      </c>
      <c r="CW49" s="57" t="s">
        <v>398</v>
      </c>
      <c r="CX49" s="51" t="s">
        <v>398</v>
      </c>
      <c r="CY49" s="51" t="s">
        <v>398</v>
      </c>
      <c r="CZ49" s="64" t="str">
        <f>IF(_xlfn.XLOOKUP(B49,[2]累计数据!$C$193:$C$245,[2]累计数据!$C$193:$C$245,"N")=B49,"Y","N")</f>
        <v>N</v>
      </c>
      <c r="DA49" s="58">
        <v>0.05</v>
      </c>
      <c r="DB49" s="59">
        <v>0.02</v>
      </c>
      <c r="DC49" s="59">
        <v>0.02</v>
      </c>
      <c r="DD49" s="65"/>
      <c r="DE49"/>
      <c r="DF49"/>
      <c r="DG49"/>
      <c r="DH49"/>
      <c r="DI49"/>
      <c r="DJ49" s="3"/>
    </row>
    <row r="50" customFormat="1" ht="22.5" customHeight="1" spans="1:114">
      <c r="A50" s="46">
        <v>12396</v>
      </c>
      <c r="B50" s="47" t="s">
        <v>194</v>
      </c>
      <c r="C50" s="48">
        <v>46104</v>
      </c>
      <c r="D50" s="49" t="str">
        <f>IF(_xlfn.XLOOKUP(A50,[1]分配表!J:J,[1]分配表!M:M)=0,"未出单",_xlfn.XLOOKUP(A50,[1]分配表!J:J,[1]分配表!M:M))</f>
        <v>未出单</v>
      </c>
      <c r="E50" s="50" t="str">
        <f>_xlfn.XLOOKUP(A50,[1]分配表!A:A,[1]分配表!C:C)</f>
        <v>胡煜星</v>
      </c>
      <c r="F50" s="50" t="s">
        <v>44</v>
      </c>
      <c r="G50" s="50" t="s">
        <v>34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2">
        <f t="shared" si="0"/>
        <v>0</v>
      </c>
      <c r="R50" s="53">
        <v>0</v>
      </c>
      <c r="S50" s="54">
        <v>0</v>
      </c>
      <c r="T50" s="54">
        <v>0</v>
      </c>
      <c r="U50" s="54">
        <v>0</v>
      </c>
      <c r="V50" s="54">
        <v>0</v>
      </c>
      <c r="W50" s="54">
        <v>0</v>
      </c>
      <c r="X50" s="54">
        <v>0</v>
      </c>
      <c r="Y50" s="55">
        <v>0</v>
      </c>
      <c r="Z50" s="56">
        <v>0</v>
      </c>
      <c r="AA50" s="54">
        <f t="shared" si="1"/>
        <v>0</v>
      </c>
      <c r="AB50" s="57">
        <v>0</v>
      </c>
      <c r="AC50" s="51">
        <v>0</v>
      </c>
      <c r="AD50" s="51">
        <v>0</v>
      </c>
      <c r="AE50" s="51">
        <v>0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8" t="s">
        <v>390</v>
      </c>
      <c r="AL50" s="59" t="s">
        <v>390</v>
      </c>
      <c r="AM50" s="59" t="s">
        <v>390</v>
      </c>
      <c r="AN50" s="59">
        <v>0</v>
      </c>
      <c r="AO50" s="59">
        <v>0</v>
      </c>
      <c r="AP50" s="59">
        <v>0</v>
      </c>
      <c r="AQ50" s="59" t="s">
        <v>390</v>
      </c>
      <c r="AR50" s="59" t="s">
        <v>390</v>
      </c>
      <c r="AS50" s="59" t="s">
        <v>390</v>
      </c>
      <c r="AT50" s="60" t="s">
        <v>412</v>
      </c>
      <c r="AU50" s="61" t="s">
        <v>412</v>
      </c>
      <c r="AV50" s="61">
        <v>2</v>
      </c>
      <c r="AW50" s="61">
        <v>10</v>
      </c>
      <c r="AX50" s="61">
        <v>0</v>
      </c>
      <c r="AY50" s="61">
        <v>6</v>
      </c>
      <c r="AZ50" s="61">
        <v>5</v>
      </c>
      <c r="BA50" s="61">
        <v>6</v>
      </c>
      <c r="BB50" s="62">
        <v>0</v>
      </c>
      <c r="BC50" s="54" t="s">
        <v>412</v>
      </c>
      <c r="BD50" s="54" t="s">
        <v>412</v>
      </c>
      <c r="BE50" s="54" t="s">
        <v>120</v>
      </c>
      <c r="BF50" s="54" t="s">
        <v>120</v>
      </c>
      <c r="BG50" s="54" t="s">
        <v>120</v>
      </c>
      <c r="BH50" s="54" t="s">
        <v>120</v>
      </c>
      <c r="BI50" s="54" t="s">
        <v>120</v>
      </c>
      <c r="BJ50" s="54" t="s">
        <v>120</v>
      </c>
      <c r="BK50" s="54" t="s">
        <v>120</v>
      </c>
      <c r="BL50" s="53" t="s">
        <v>412</v>
      </c>
      <c r="BM50" s="54" t="s">
        <v>412</v>
      </c>
      <c r="BN50" s="54" t="s">
        <v>392</v>
      </c>
      <c r="BO50" s="54" t="s">
        <v>393</v>
      </c>
      <c r="BP50" s="54" t="s">
        <v>392</v>
      </c>
      <c r="BQ50" s="54" t="s">
        <v>392</v>
      </c>
      <c r="BR50" s="54" t="s">
        <v>392</v>
      </c>
      <c r="BS50" s="54" t="s">
        <v>392</v>
      </c>
      <c r="BT50" s="63" t="s">
        <v>392</v>
      </c>
      <c r="BU50" s="53" t="s">
        <v>412</v>
      </c>
      <c r="BV50" s="54" t="s">
        <v>412</v>
      </c>
      <c r="BW50" s="54" t="s">
        <v>392</v>
      </c>
      <c r="BX50" s="54" t="s">
        <v>392</v>
      </c>
      <c r="BY50" s="54" t="s">
        <v>392</v>
      </c>
      <c r="BZ50" s="54" t="s">
        <v>392</v>
      </c>
      <c r="CA50" s="54" t="s">
        <v>392</v>
      </c>
      <c r="CB50" s="54" t="s">
        <v>392</v>
      </c>
      <c r="CC50" s="54" t="s">
        <v>392</v>
      </c>
      <c r="CD50" s="57" t="s">
        <v>412</v>
      </c>
      <c r="CE50" s="51" t="s">
        <v>412</v>
      </c>
      <c r="CF50" s="51" t="s">
        <v>412</v>
      </c>
      <c r="CG50" s="51" t="s">
        <v>394</v>
      </c>
      <c r="CH50" s="51" t="s">
        <v>394</v>
      </c>
      <c r="CI50" s="51" t="s">
        <v>394</v>
      </c>
      <c r="CJ50" s="51" t="s">
        <v>394</v>
      </c>
      <c r="CK50" s="51" t="s">
        <v>394</v>
      </c>
      <c r="CL50" s="51" t="s">
        <v>394</v>
      </c>
      <c r="CM50" s="51" t="s">
        <v>394</v>
      </c>
      <c r="CN50" s="57"/>
      <c r="CO50" s="51"/>
      <c r="CP50" s="51" t="s">
        <v>412</v>
      </c>
      <c r="CQ50" s="51" t="s">
        <v>403</v>
      </c>
      <c r="CR50" s="51" t="s">
        <v>404</v>
      </c>
      <c r="CS50" s="51" t="s">
        <v>404</v>
      </c>
      <c r="CT50" s="51" t="s">
        <v>414</v>
      </c>
      <c r="CU50" s="51" t="s">
        <v>395</v>
      </c>
      <c r="CV50" s="51" t="s">
        <v>414</v>
      </c>
      <c r="CW50" s="57" t="s">
        <v>398</v>
      </c>
      <c r="CX50" s="51" t="s">
        <v>391</v>
      </c>
      <c r="CY50" s="51" t="s">
        <v>391</v>
      </c>
      <c r="CZ50" s="64" t="str">
        <f>IF(_xlfn.XLOOKUP(B50,[2]累计数据!$C$193:$C$245,[2]累计数据!$C$193:$C$245,"N")=B50,"Y","N")</f>
        <v>Y</v>
      </c>
      <c r="DA50" s="58">
        <v>0.05</v>
      </c>
      <c r="DB50" s="59">
        <v>0.04</v>
      </c>
      <c r="DC50" s="59">
        <v>0.04</v>
      </c>
      <c r="DD50" s="65"/>
      <c r="DE50"/>
      <c r="DF50"/>
      <c r="DG50"/>
      <c r="DH50"/>
      <c r="DI50"/>
      <c r="DJ50" s="3"/>
    </row>
    <row r="51" customFormat="1" ht="22.5" customHeight="1" spans="1:114">
      <c r="A51" s="46">
        <v>12291</v>
      </c>
      <c r="B51" s="47" t="s">
        <v>118</v>
      </c>
      <c r="C51" s="48">
        <v>46104</v>
      </c>
      <c r="D51" s="49">
        <f>IF(_xlfn.XLOOKUP(A51,[1]分配表!J:J,[1]分配表!M:M)=0,"未出单",_xlfn.XLOOKUP(A51,[1]分配表!J:J,[1]分配表!M:M))</f>
        <v>46134</v>
      </c>
      <c r="E51" s="50" t="str">
        <f>_xlfn.XLOOKUP(A51,[1]分配表!A:A,[1]分配表!C:C)</f>
        <v>张潇</v>
      </c>
      <c r="F51" s="50" t="s">
        <v>97</v>
      </c>
      <c r="G51" s="50" t="s">
        <v>34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1</v>
      </c>
      <c r="O51" s="51">
        <v>0</v>
      </c>
      <c r="P51" s="51">
        <v>2</v>
      </c>
      <c r="Q51" s="52">
        <f t="shared" si="0"/>
        <v>2</v>
      </c>
      <c r="R51" s="53">
        <v>0</v>
      </c>
      <c r="S51" s="54">
        <v>0</v>
      </c>
      <c r="T51" s="54">
        <v>0</v>
      </c>
      <c r="U51" s="54">
        <v>0</v>
      </c>
      <c r="V51" s="54">
        <v>0</v>
      </c>
      <c r="W51" s="54">
        <v>0</v>
      </c>
      <c r="X51" s="54">
        <v>129</v>
      </c>
      <c r="Y51" s="55">
        <v>0</v>
      </c>
      <c r="Z51" s="56">
        <v>258</v>
      </c>
      <c r="AA51" s="54">
        <f t="shared" si="1"/>
        <v>258</v>
      </c>
      <c r="AB51" s="57">
        <v>0</v>
      </c>
      <c r="AC51" s="51">
        <v>0</v>
      </c>
      <c r="AD51" s="51">
        <v>0</v>
      </c>
      <c r="AE51" s="51">
        <v>0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8" t="s">
        <v>390</v>
      </c>
      <c r="AL51" s="59" t="s">
        <v>390</v>
      </c>
      <c r="AM51" s="59" t="s">
        <v>390</v>
      </c>
      <c r="AN51" s="59">
        <v>0</v>
      </c>
      <c r="AO51" s="59">
        <v>0</v>
      </c>
      <c r="AP51" s="59">
        <v>0</v>
      </c>
      <c r="AQ51" s="59" t="s">
        <v>390</v>
      </c>
      <c r="AR51" s="59">
        <v>1</v>
      </c>
      <c r="AS51" s="59">
        <v>1</v>
      </c>
      <c r="AT51" s="60" t="s">
        <v>412</v>
      </c>
      <c r="AU51" s="61" t="s">
        <v>412</v>
      </c>
      <c r="AV51" s="61">
        <v>2</v>
      </c>
      <c r="AW51" s="61">
        <v>1</v>
      </c>
      <c r="AX51" s="61">
        <v>0</v>
      </c>
      <c r="AY51" s="61">
        <v>5</v>
      </c>
      <c r="AZ51" s="61">
        <v>6</v>
      </c>
      <c r="BA51" s="61">
        <v>0</v>
      </c>
      <c r="BB51" s="62">
        <v>7</v>
      </c>
      <c r="BC51" s="54" t="s">
        <v>412</v>
      </c>
      <c r="BD51" s="54" t="s">
        <v>412</v>
      </c>
      <c r="BE51" s="54" t="s">
        <v>120</v>
      </c>
      <c r="BF51" s="54" t="s">
        <v>120</v>
      </c>
      <c r="BG51" s="54" t="s">
        <v>120</v>
      </c>
      <c r="BH51" s="54" t="s">
        <v>120</v>
      </c>
      <c r="BI51" s="54" t="s">
        <v>398</v>
      </c>
      <c r="BJ51" s="54" t="s">
        <v>398</v>
      </c>
      <c r="BK51" s="54" t="s">
        <v>398</v>
      </c>
      <c r="BL51" s="53" t="s">
        <v>412</v>
      </c>
      <c r="BM51" s="54" t="s">
        <v>412</v>
      </c>
      <c r="BN51" s="54" t="s">
        <v>392</v>
      </c>
      <c r="BO51" s="54" t="s">
        <v>392</v>
      </c>
      <c r="BP51" s="54" t="s">
        <v>392</v>
      </c>
      <c r="BQ51" s="54" t="s">
        <v>392</v>
      </c>
      <c r="BR51" s="54" t="s">
        <v>392</v>
      </c>
      <c r="BS51" s="54" t="s">
        <v>392</v>
      </c>
      <c r="BT51" s="63" t="s">
        <v>392</v>
      </c>
      <c r="BU51" s="53" t="s">
        <v>412</v>
      </c>
      <c r="BV51" s="54" t="s">
        <v>412</v>
      </c>
      <c r="BW51" s="54" t="s">
        <v>392</v>
      </c>
      <c r="BX51" s="54" t="s">
        <v>392</v>
      </c>
      <c r="BY51" s="54" t="s">
        <v>392</v>
      </c>
      <c r="BZ51" s="54" t="s">
        <v>392</v>
      </c>
      <c r="CA51" s="54" t="s">
        <v>392</v>
      </c>
      <c r="CB51" s="54" t="s">
        <v>392</v>
      </c>
      <c r="CC51" s="54" t="s">
        <v>392</v>
      </c>
      <c r="CD51" s="57" t="s">
        <v>412</v>
      </c>
      <c r="CE51" s="51" t="s">
        <v>412</v>
      </c>
      <c r="CF51" s="51" t="s">
        <v>412</v>
      </c>
      <c r="CG51" s="51" t="s">
        <v>394</v>
      </c>
      <c r="CH51" s="51" t="s">
        <v>394</v>
      </c>
      <c r="CI51" s="51" t="s">
        <v>394</v>
      </c>
      <c r="CJ51" s="51" t="s">
        <v>406</v>
      </c>
      <c r="CK51" s="51" t="s">
        <v>394</v>
      </c>
      <c r="CL51" s="51" t="s">
        <v>392</v>
      </c>
      <c r="CM51" s="51" t="s">
        <v>392</v>
      </c>
      <c r="CN51" s="57"/>
      <c r="CO51" s="51"/>
      <c r="CP51" s="51" t="s">
        <v>412</v>
      </c>
      <c r="CQ51" s="51" t="s">
        <v>395</v>
      </c>
      <c r="CR51" s="51" t="s">
        <v>395</v>
      </c>
      <c r="CS51" s="51" t="s">
        <v>395</v>
      </c>
      <c r="CT51" s="51" t="s">
        <v>414</v>
      </c>
      <c r="CU51" s="51" t="s">
        <v>396</v>
      </c>
      <c r="CV51" s="51" t="s">
        <v>396</v>
      </c>
      <c r="CW51" s="57" t="s">
        <v>391</v>
      </c>
      <c r="CX51" s="51" t="s">
        <v>391</v>
      </c>
      <c r="CY51" s="51" t="s">
        <v>391</v>
      </c>
      <c r="CZ51" s="64" t="str">
        <f>IF(_xlfn.XLOOKUP(B51,[2]累计数据!$C$193:$C$245,[2]累计数据!$C$193:$C$245,"N")=B51,"Y","N")</f>
        <v>Y</v>
      </c>
      <c r="DA51" s="58">
        <v>0.02</v>
      </c>
      <c r="DB51" s="59">
        <v>0.02</v>
      </c>
      <c r="DC51" s="59">
        <v>0.02</v>
      </c>
      <c r="DD51" s="65"/>
      <c r="DE51"/>
      <c r="DF51"/>
      <c r="DG51"/>
      <c r="DH51"/>
      <c r="DI51"/>
      <c r="DJ51" s="3"/>
    </row>
    <row r="52" customFormat="1" ht="22.5" customHeight="1" spans="1:114">
      <c r="A52" s="46">
        <v>12290</v>
      </c>
      <c r="B52" s="47" t="s">
        <v>435</v>
      </c>
      <c r="C52" s="48">
        <v>46104</v>
      </c>
      <c r="D52" s="49">
        <f>IF(_xlfn.XLOOKUP(A52,[1]分配表!J:J,[1]分配表!M:M)=0,"未出单",_xlfn.XLOOKUP(A52,[1]分配表!J:J,[1]分配表!M:M))</f>
        <v>46119</v>
      </c>
      <c r="E52" s="50" t="str">
        <f>_xlfn.XLOOKUP(A52,[1]分配表!A:A,[1]分配表!C:C)</f>
        <v>张潇</v>
      </c>
      <c r="F52" s="50" t="s">
        <v>97</v>
      </c>
      <c r="G52" s="50" t="s">
        <v>34</v>
      </c>
      <c r="H52" s="51">
        <v>0</v>
      </c>
      <c r="I52" s="51">
        <v>0</v>
      </c>
      <c r="J52" s="51">
        <v>0</v>
      </c>
      <c r="K52" s="51">
        <v>0</v>
      </c>
      <c r="L52" s="51">
        <v>1</v>
      </c>
      <c r="M52" s="51">
        <v>0</v>
      </c>
      <c r="N52" s="51">
        <v>0</v>
      </c>
      <c r="O52" s="51">
        <v>2</v>
      </c>
      <c r="P52" s="51">
        <v>2</v>
      </c>
      <c r="Q52" s="52">
        <f t="shared" si="0"/>
        <v>0</v>
      </c>
      <c r="R52" s="53">
        <v>0</v>
      </c>
      <c r="S52" s="54">
        <v>0</v>
      </c>
      <c r="T52" s="54">
        <v>0</v>
      </c>
      <c r="U52" s="54">
        <v>0</v>
      </c>
      <c r="V52" s="54">
        <v>118</v>
      </c>
      <c r="W52" s="54">
        <v>0</v>
      </c>
      <c r="X52" s="54">
        <v>0</v>
      </c>
      <c r="Y52" s="55">
        <v>236</v>
      </c>
      <c r="Z52" s="56">
        <v>236</v>
      </c>
      <c r="AA52" s="54">
        <f t="shared" si="1"/>
        <v>0</v>
      </c>
      <c r="AB52" s="57">
        <v>0</v>
      </c>
      <c r="AC52" s="51">
        <v>0</v>
      </c>
      <c r="AD52" s="51">
        <v>0</v>
      </c>
      <c r="AE52" s="51">
        <v>3</v>
      </c>
      <c r="AF52" s="51">
        <v>0</v>
      </c>
      <c r="AG52" s="51">
        <v>0</v>
      </c>
      <c r="AH52" s="51">
        <v>5</v>
      </c>
      <c r="AI52" s="51">
        <v>1</v>
      </c>
      <c r="AJ52" s="51">
        <v>1</v>
      </c>
      <c r="AK52" s="58" t="s">
        <v>390</v>
      </c>
      <c r="AL52" s="59" t="s">
        <v>390</v>
      </c>
      <c r="AM52" s="59" t="s">
        <v>390</v>
      </c>
      <c r="AN52" s="59">
        <v>0</v>
      </c>
      <c r="AO52" s="59">
        <v>1</v>
      </c>
      <c r="AP52" s="59">
        <v>0</v>
      </c>
      <c r="AQ52" s="59">
        <v>0</v>
      </c>
      <c r="AR52" s="59">
        <v>0</v>
      </c>
      <c r="AS52" s="59">
        <v>0.8</v>
      </c>
      <c r="AT52" s="60" t="s">
        <v>412</v>
      </c>
      <c r="AU52" s="61" t="s">
        <v>412</v>
      </c>
      <c r="AV52" s="61">
        <v>2</v>
      </c>
      <c r="AW52" s="61">
        <v>1</v>
      </c>
      <c r="AX52" s="61">
        <v>0</v>
      </c>
      <c r="AY52" s="61">
        <v>8</v>
      </c>
      <c r="AZ52" s="61">
        <v>2</v>
      </c>
      <c r="BA52" s="61">
        <v>9</v>
      </c>
      <c r="BB52" s="62">
        <v>0</v>
      </c>
      <c r="BC52" s="54" t="s">
        <v>412</v>
      </c>
      <c r="BD52" s="54" t="s">
        <v>412</v>
      </c>
      <c r="BE52" s="54" t="s">
        <v>120</v>
      </c>
      <c r="BF52" s="54" t="s">
        <v>120</v>
      </c>
      <c r="BG52" s="54" t="s">
        <v>398</v>
      </c>
      <c r="BH52" s="54" t="s">
        <v>398</v>
      </c>
      <c r="BI52" s="54" t="s">
        <v>398</v>
      </c>
      <c r="BJ52" s="54" t="s">
        <v>398</v>
      </c>
      <c r="BK52" s="54" t="s">
        <v>398</v>
      </c>
      <c r="BL52" s="53" t="s">
        <v>412</v>
      </c>
      <c r="BM52" s="54" t="s">
        <v>412</v>
      </c>
      <c r="BN52" s="54" t="s">
        <v>392</v>
      </c>
      <c r="BO52" s="54" t="s">
        <v>392</v>
      </c>
      <c r="BP52" s="54" t="s">
        <v>392</v>
      </c>
      <c r="BQ52" s="54" t="s">
        <v>393</v>
      </c>
      <c r="BR52" s="54" t="s">
        <v>392</v>
      </c>
      <c r="BS52" s="54" t="s">
        <v>393</v>
      </c>
      <c r="BT52" s="63" t="s">
        <v>392</v>
      </c>
      <c r="BU52" s="53" t="s">
        <v>412</v>
      </c>
      <c r="BV52" s="54" t="s">
        <v>412</v>
      </c>
      <c r="BW52" s="54" t="s">
        <v>392</v>
      </c>
      <c r="BX52" s="54" t="s">
        <v>392</v>
      </c>
      <c r="BY52" s="54" t="s">
        <v>392</v>
      </c>
      <c r="BZ52" s="54" t="s">
        <v>392</v>
      </c>
      <c r="CA52" s="54" t="s">
        <v>392</v>
      </c>
      <c r="CB52" s="54" t="s">
        <v>392</v>
      </c>
      <c r="CC52" s="54" t="s">
        <v>392</v>
      </c>
      <c r="CD52" s="57" t="s">
        <v>412</v>
      </c>
      <c r="CE52" s="51" t="s">
        <v>412</v>
      </c>
      <c r="CF52" s="51" t="s">
        <v>412</v>
      </c>
      <c r="CG52" s="51" t="s">
        <v>394</v>
      </c>
      <c r="CH52" s="51" t="s">
        <v>402</v>
      </c>
      <c r="CI52" s="51" t="s">
        <v>392</v>
      </c>
      <c r="CJ52" s="51" t="s">
        <v>392</v>
      </c>
      <c r="CK52" s="51" t="s">
        <v>402</v>
      </c>
      <c r="CL52" s="51" t="s">
        <v>402</v>
      </c>
      <c r="CM52" s="51" t="s">
        <v>392</v>
      </c>
      <c r="CN52" s="57"/>
      <c r="CO52" s="51"/>
      <c r="CP52" s="51" t="s">
        <v>412</v>
      </c>
      <c r="CQ52" s="51" t="s">
        <v>400</v>
      </c>
      <c r="CR52" s="51" t="s">
        <v>396</v>
      </c>
      <c r="CS52" s="51" t="s">
        <v>396</v>
      </c>
      <c r="CT52" s="51" t="s">
        <v>404</v>
      </c>
      <c r="CU52" s="51" t="s">
        <v>396</v>
      </c>
      <c r="CV52" s="51" t="s">
        <v>400</v>
      </c>
      <c r="CW52" s="57" t="s">
        <v>398</v>
      </c>
      <c r="CX52" s="51" t="s">
        <v>398</v>
      </c>
      <c r="CY52" s="51" t="s">
        <v>398</v>
      </c>
      <c r="CZ52" s="64" t="str">
        <f>IF(_xlfn.XLOOKUP(B52,[2]累计数据!$C$193:$C$245,[2]累计数据!$C$193:$C$245,"N")=B52,"Y","N")</f>
        <v>N</v>
      </c>
      <c r="DA52" s="58">
        <v>0.02</v>
      </c>
      <c r="DB52" s="59">
        <v>0.02</v>
      </c>
      <c r="DC52" s="59">
        <v>0.02</v>
      </c>
      <c r="DD52" s="65"/>
      <c r="DE52"/>
      <c r="DF52"/>
      <c r="DG52"/>
      <c r="DH52"/>
      <c r="DI52"/>
      <c r="DJ52" s="3"/>
    </row>
    <row r="53" customFormat="1" ht="22.5" customHeight="1" spans="1:114">
      <c r="A53" s="46">
        <v>12391</v>
      </c>
      <c r="B53" s="47" t="s">
        <v>436</v>
      </c>
      <c r="C53" s="48">
        <v>46104</v>
      </c>
      <c r="D53" s="49">
        <f>IF(_xlfn.XLOOKUP(A53,[1]分配表!J:J,[1]分配表!M:M)=0,"未出单",_xlfn.XLOOKUP(A53,[1]分配表!J:J,[1]分配表!M:M))</f>
        <v>46118</v>
      </c>
      <c r="E53" s="50" t="str">
        <f>_xlfn.XLOOKUP(A53,[1]分配表!A:A,[1]分配表!C:C)</f>
        <v>张潇</v>
      </c>
      <c r="F53" s="50" t="s">
        <v>52</v>
      </c>
      <c r="G53" s="50" t="s">
        <v>34</v>
      </c>
      <c r="H53" s="51">
        <v>0</v>
      </c>
      <c r="I53" s="51">
        <v>0</v>
      </c>
      <c r="J53" s="51">
        <v>0</v>
      </c>
      <c r="K53" s="51">
        <v>0</v>
      </c>
      <c r="L53" s="51">
        <v>1</v>
      </c>
      <c r="M53" s="51">
        <v>1</v>
      </c>
      <c r="N53" s="51">
        <v>0</v>
      </c>
      <c r="O53" s="51">
        <v>2</v>
      </c>
      <c r="P53" s="51">
        <v>2</v>
      </c>
      <c r="Q53" s="52">
        <f t="shared" si="0"/>
        <v>0</v>
      </c>
      <c r="R53" s="53">
        <v>0</v>
      </c>
      <c r="S53" s="54">
        <v>0</v>
      </c>
      <c r="T53" s="54">
        <v>0</v>
      </c>
      <c r="U53" s="54">
        <v>0</v>
      </c>
      <c r="V53" s="54">
        <v>139</v>
      </c>
      <c r="W53" s="54">
        <v>139</v>
      </c>
      <c r="X53" s="54">
        <v>0</v>
      </c>
      <c r="Y53" s="55">
        <v>278</v>
      </c>
      <c r="Z53" s="56">
        <v>278</v>
      </c>
      <c r="AA53" s="54">
        <f t="shared" si="1"/>
        <v>0</v>
      </c>
      <c r="AB53" s="57">
        <v>0</v>
      </c>
      <c r="AC53" s="51">
        <v>0</v>
      </c>
      <c r="AD53" s="51">
        <v>0</v>
      </c>
      <c r="AE53" s="51">
        <v>0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8" t="s">
        <v>390</v>
      </c>
      <c r="AL53" s="59" t="s">
        <v>390</v>
      </c>
      <c r="AM53" s="59" t="s">
        <v>390</v>
      </c>
      <c r="AN53" s="59">
        <v>0</v>
      </c>
      <c r="AO53" s="59">
        <v>1</v>
      </c>
      <c r="AP53" s="59">
        <v>1</v>
      </c>
      <c r="AQ53" s="59">
        <v>1</v>
      </c>
      <c r="AR53" s="59">
        <v>1</v>
      </c>
      <c r="AS53" s="59">
        <v>1</v>
      </c>
      <c r="AT53" s="60" t="s">
        <v>412</v>
      </c>
      <c r="AU53" s="61" t="s">
        <v>412</v>
      </c>
      <c r="AV53" s="61">
        <v>2</v>
      </c>
      <c r="AW53" s="61">
        <v>10</v>
      </c>
      <c r="AX53" s="61">
        <v>0</v>
      </c>
      <c r="AY53" s="61">
        <v>8</v>
      </c>
      <c r="AZ53" s="61">
        <v>2</v>
      </c>
      <c r="BA53" s="61">
        <v>9</v>
      </c>
      <c r="BB53" s="62">
        <v>6</v>
      </c>
      <c r="BC53" s="54" t="s">
        <v>412</v>
      </c>
      <c r="BD53" s="54" t="s">
        <v>412</v>
      </c>
      <c r="BE53" s="54" t="s">
        <v>120</v>
      </c>
      <c r="BF53" s="54" t="s">
        <v>120</v>
      </c>
      <c r="BG53" s="54" t="s">
        <v>398</v>
      </c>
      <c r="BH53" s="54" t="s">
        <v>398</v>
      </c>
      <c r="BI53" s="54" t="s">
        <v>398</v>
      </c>
      <c r="BJ53" s="54" t="s">
        <v>398</v>
      </c>
      <c r="BK53" s="54" t="s">
        <v>398</v>
      </c>
      <c r="BL53" s="53" t="s">
        <v>412</v>
      </c>
      <c r="BM53" s="54" t="s">
        <v>412</v>
      </c>
      <c r="BN53" s="54" t="s">
        <v>392</v>
      </c>
      <c r="BO53" s="54" t="s">
        <v>393</v>
      </c>
      <c r="BP53" s="54" t="s">
        <v>392</v>
      </c>
      <c r="BQ53" s="54" t="s">
        <v>393</v>
      </c>
      <c r="BR53" s="54" t="s">
        <v>392</v>
      </c>
      <c r="BS53" s="54" t="s">
        <v>392</v>
      </c>
      <c r="BT53" s="63" t="s">
        <v>392</v>
      </c>
      <c r="BU53" s="53" t="s">
        <v>412</v>
      </c>
      <c r="BV53" s="54" t="s">
        <v>412</v>
      </c>
      <c r="BW53" s="54" t="s">
        <v>392</v>
      </c>
      <c r="BX53" s="54" t="s">
        <v>392</v>
      </c>
      <c r="BY53" s="54" t="s">
        <v>392</v>
      </c>
      <c r="BZ53" s="54" t="s">
        <v>392</v>
      </c>
      <c r="CA53" s="54" t="s">
        <v>392</v>
      </c>
      <c r="CB53" s="54" t="s">
        <v>392</v>
      </c>
      <c r="CC53" s="54" t="s">
        <v>392</v>
      </c>
      <c r="CD53" s="57" t="s">
        <v>412</v>
      </c>
      <c r="CE53" s="51" t="s">
        <v>412</v>
      </c>
      <c r="CF53" s="51" t="s">
        <v>412</v>
      </c>
      <c r="CG53" s="51" t="s">
        <v>394</v>
      </c>
      <c r="CH53" s="51" t="s">
        <v>394</v>
      </c>
      <c r="CI53" s="51" t="s">
        <v>392</v>
      </c>
      <c r="CJ53" s="51" t="s">
        <v>406</v>
      </c>
      <c r="CK53" s="51" t="s">
        <v>392</v>
      </c>
      <c r="CL53" s="51" t="s">
        <v>392</v>
      </c>
      <c r="CM53" s="51" t="s">
        <v>392</v>
      </c>
      <c r="CN53" s="57"/>
      <c r="CO53" s="51"/>
      <c r="CP53" s="51" t="s">
        <v>412</v>
      </c>
      <c r="CQ53" s="51" t="s">
        <v>400</v>
      </c>
      <c r="CR53" s="51" t="s">
        <v>396</v>
      </c>
      <c r="CS53" s="51" t="s">
        <v>396</v>
      </c>
      <c r="CT53" s="51" t="s">
        <v>400</v>
      </c>
      <c r="CU53" s="51" t="s">
        <v>396</v>
      </c>
      <c r="CV53" s="51" t="s">
        <v>396</v>
      </c>
      <c r="CW53" s="57" t="s">
        <v>398</v>
      </c>
      <c r="CX53" s="51" t="s">
        <v>398</v>
      </c>
      <c r="CY53" s="51" t="s">
        <v>398</v>
      </c>
      <c r="CZ53" s="64" t="str">
        <f>IF(_xlfn.XLOOKUP(B53,[2]累计数据!$C$193:$C$245,[2]累计数据!$C$193:$C$245,"N")=B53,"Y","N")</f>
        <v>N</v>
      </c>
      <c r="DA53" s="58">
        <v>0.02</v>
      </c>
      <c r="DB53" s="59">
        <v>0</v>
      </c>
      <c r="DC53" s="59">
        <v>0</v>
      </c>
      <c r="DD53" s="65"/>
      <c r="DE53"/>
      <c r="DF53"/>
      <c r="DG53"/>
      <c r="DH53"/>
      <c r="DI53"/>
      <c r="DJ53" s="3"/>
    </row>
    <row r="54" customFormat="1" ht="22.5" customHeight="1" spans="1:114">
      <c r="A54" s="46">
        <v>12398</v>
      </c>
      <c r="B54" s="47" t="s">
        <v>437</v>
      </c>
      <c r="C54" s="48">
        <v>46104</v>
      </c>
      <c r="D54" s="49">
        <f>IF(_xlfn.XLOOKUP(A54,[1]分配表!J:J,[1]分配表!M:M)=0,"未出单",_xlfn.XLOOKUP(A54,[1]分配表!J:J,[1]分配表!M:M))</f>
        <v>46114</v>
      </c>
      <c r="E54" s="50" t="str">
        <f>_xlfn.XLOOKUP(A54,[1]分配表!A:A,[1]分配表!C:C)</f>
        <v>张潇</v>
      </c>
      <c r="F54" s="50" t="s">
        <v>52</v>
      </c>
      <c r="G54" s="50" t="s">
        <v>45</v>
      </c>
      <c r="H54" s="51">
        <v>0</v>
      </c>
      <c r="I54" s="51">
        <v>0</v>
      </c>
      <c r="J54" s="51">
        <v>0</v>
      </c>
      <c r="K54" s="51">
        <v>0</v>
      </c>
      <c r="L54" s="51">
        <v>3</v>
      </c>
      <c r="M54" s="51">
        <v>1</v>
      </c>
      <c r="N54" s="51">
        <v>3</v>
      </c>
      <c r="O54" s="51">
        <v>1</v>
      </c>
      <c r="P54" s="51">
        <v>3</v>
      </c>
      <c r="Q54" s="52">
        <f t="shared" si="0"/>
        <v>2</v>
      </c>
      <c r="R54" s="53">
        <v>0</v>
      </c>
      <c r="S54" s="54">
        <v>0</v>
      </c>
      <c r="T54" s="54">
        <v>0</v>
      </c>
      <c r="U54" s="54">
        <v>0</v>
      </c>
      <c r="V54" s="54">
        <v>147</v>
      </c>
      <c r="W54" s="54">
        <v>49</v>
      </c>
      <c r="X54" s="54">
        <v>147</v>
      </c>
      <c r="Y54" s="55">
        <v>49</v>
      </c>
      <c r="Z54" s="56">
        <v>147</v>
      </c>
      <c r="AA54" s="54">
        <f t="shared" si="1"/>
        <v>98</v>
      </c>
      <c r="AB54" s="57">
        <v>0</v>
      </c>
      <c r="AC54" s="51">
        <v>0</v>
      </c>
      <c r="AD54" s="51">
        <v>0</v>
      </c>
      <c r="AE54" s="51">
        <v>0</v>
      </c>
      <c r="AF54" s="51">
        <v>0</v>
      </c>
      <c r="AG54" s="51">
        <v>1</v>
      </c>
      <c r="AH54" s="51">
        <v>1</v>
      </c>
      <c r="AI54" s="51">
        <v>0</v>
      </c>
      <c r="AJ54" s="51">
        <v>0</v>
      </c>
      <c r="AK54" s="58" t="s">
        <v>390</v>
      </c>
      <c r="AL54" s="59" t="s">
        <v>390</v>
      </c>
      <c r="AM54" s="59" t="s">
        <v>390</v>
      </c>
      <c r="AN54" s="59">
        <v>0</v>
      </c>
      <c r="AO54" s="59">
        <v>1</v>
      </c>
      <c r="AP54" s="59">
        <v>0.5</v>
      </c>
      <c r="AQ54" s="59">
        <v>0.8</v>
      </c>
      <c r="AR54" s="59">
        <v>1</v>
      </c>
      <c r="AS54" s="59">
        <v>1</v>
      </c>
      <c r="AT54" s="60" t="s">
        <v>412</v>
      </c>
      <c r="AU54" s="61" t="s">
        <v>412</v>
      </c>
      <c r="AV54" s="61">
        <v>1</v>
      </c>
      <c r="AW54" s="61">
        <v>9</v>
      </c>
      <c r="AX54" s="61">
        <v>0</v>
      </c>
      <c r="AY54" s="61">
        <v>8</v>
      </c>
      <c r="AZ54" s="61">
        <v>2</v>
      </c>
      <c r="BA54" s="61">
        <v>9</v>
      </c>
      <c r="BB54" s="62">
        <v>16</v>
      </c>
      <c r="BC54" s="54" t="s">
        <v>412</v>
      </c>
      <c r="BD54" s="54" t="s">
        <v>412</v>
      </c>
      <c r="BE54" s="54" t="s">
        <v>120</v>
      </c>
      <c r="BF54" s="54" t="s">
        <v>120</v>
      </c>
      <c r="BG54" s="54" t="s">
        <v>398</v>
      </c>
      <c r="BH54" s="54" t="s">
        <v>398</v>
      </c>
      <c r="BI54" s="54" t="s">
        <v>398</v>
      </c>
      <c r="BJ54" s="54" t="s">
        <v>398</v>
      </c>
      <c r="BK54" s="54" t="s">
        <v>398</v>
      </c>
      <c r="BL54" s="53" t="s">
        <v>412</v>
      </c>
      <c r="BM54" s="54" t="s">
        <v>412</v>
      </c>
      <c r="BN54" s="54" t="s">
        <v>392</v>
      </c>
      <c r="BO54" s="54" t="s">
        <v>393</v>
      </c>
      <c r="BP54" s="54" t="s">
        <v>392</v>
      </c>
      <c r="BQ54" s="54" t="s">
        <v>393</v>
      </c>
      <c r="BR54" s="54" t="s">
        <v>392</v>
      </c>
      <c r="BS54" s="54" t="s">
        <v>392</v>
      </c>
      <c r="BT54" s="63" t="s">
        <v>392</v>
      </c>
      <c r="BU54" s="53" t="s">
        <v>412</v>
      </c>
      <c r="BV54" s="54" t="s">
        <v>412</v>
      </c>
      <c r="BW54" s="54" t="s">
        <v>392</v>
      </c>
      <c r="BX54" s="54" t="s">
        <v>392</v>
      </c>
      <c r="BY54" s="54" t="s">
        <v>392</v>
      </c>
      <c r="BZ54" s="54" t="s">
        <v>392</v>
      </c>
      <c r="CA54" s="54" t="s">
        <v>392</v>
      </c>
      <c r="CB54" s="54" t="s">
        <v>392</v>
      </c>
      <c r="CC54" s="54" t="s">
        <v>392</v>
      </c>
      <c r="CD54" s="57" t="s">
        <v>412</v>
      </c>
      <c r="CE54" s="51" t="s">
        <v>412</v>
      </c>
      <c r="CF54" s="51" t="s">
        <v>412</v>
      </c>
      <c r="CG54" s="51" t="s">
        <v>394</v>
      </c>
      <c r="CH54" s="51" t="s">
        <v>394</v>
      </c>
      <c r="CI54" s="51" t="s">
        <v>392</v>
      </c>
      <c r="CJ54" s="51" t="s">
        <v>392</v>
      </c>
      <c r="CK54" s="51" t="s">
        <v>392</v>
      </c>
      <c r="CL54" s="51" t="s">
        <v>392</v>
      </c>
      <c r="CM54" s="51" t="s">
        <v>392</v>
      </c>
      <c r="CN54" s="57"/>
      <c r="CO54" s="51"/>
      <c r="CP54" s="51" t="s">
        <v>412</v>
      </c>
      <c r="CQ54" s="51" t="s">
        <v>400</v>
      </c>
      <c r="CR54" s="51" t="s">
        <v>396</v>
      </c>
      <c r="CS54" s="51" t="s">
        <v>396</v>
      </c>
      <c r="CT54" s="51" t="s">
        <v>400</v>
      </c>
      <c r="CU54" s="51" t="s">
        <v>396</v>
      </c>
      <c r="CV54" s="51" t="s">
        <v>396</v>
      </c>
      <c r="CW54" s="57" t="s">
        <v>398</v>
      </c>
      <c r="CX54" s="51" t="s">
        <v>398</v>
      </c>
      <c r="CY54" s="51" t="s">
        <v>398</v>
      </c>
      <c r="CZ54" s="64" t="str">
        <f>IF(_xlfn.XLOOKUP(B54,[2]累计数据!$C$193:$C$245,[2]累计数据!$C$193:$C$245,"N")=B54,"Y","N")</f>
        <v>N</v>
      </c>
      <c r="DA54" s="58">
        <v>0.02</v>
      </c>
      <c r="DB54" s="59">
        <v>0.02</v>
      </c>
      <c r="DC54" s="59">
        <v>0.02</v>
      </c>
      <c r="DD54" s="65"/>
      <c r="DE54"/>
      <c r="DF54"/>
      <c r="DG54"/>
      <c r="DH54"/>
      <c r="DI54"/>
      <c r="DJ54" s="3"/>
    </row>
    <row r="55" customFormat="1" ht="22.5" customHeight="1" spans="1:114">
      <c r="A55" s="46">
        <v>12357</v>
      </c>
      <c r="B55" s="47" t="s">
        <v>438</v>
      </c>
      <c r="C55" s="48">
        <v>46104</v>
      </c>
      <c r="D55" s="49">
        <f>IF(_xlfn.XLOOKUP(A55,[1]分配表!J:J,[1]分配表!M:M)=0,"未出单",_xlfn.XLOOKUP(A55,[1]分配表!J:J,[1]分配表!M:M))</f>
        <v>46104</v>
      </c>
      <c r="E55" s="50" t="str">
        <f>_xlfn.XLOOKUP(A55,[1]分配表!A:A,[1]分配表!C:C)</f>
        <v>张潇</v>
      </c>
      <c r="F55" s="50" t="s">
        <v>52</v>
      </c>
      <c r="G55" s="50" t="s">
        <v>34</v>
      </c>
      <c r="H55" s="51">
        <v>0</v>
      </c>
      <c r="I55" s="51">
        <v>0</v>
      </c>
      <c r="J55" s="51">
        <v>1</v>
      </c>
      <c r="K55" s="51">
        <v>0</v>
      </c>
      <c r="L55" s="51">
        <v>1</v>
      </c>
      <c r="M55" s="51">
        <v>4</v>
      </c>
      <c r="N55" s="51">
        <v>0</v>
      </c>
      <c r="O55" s="51">
        <v>1</v>
      </c>
      <c r="P55" s="51">
        <v>1</v>
      </c>
      <c r="Q55" s="52">
        <f t="shared" si="0"/>
        <v>0</v>
      </c>
      <c r="R55" s="53">
        <v>0</v>
      </c>
      <c r="S55" s="54">
        <v>0</v>
      </c>
      <c r="T55" s="54">
        <v>110</v>
      </c>
      <c r="U55" s="54">
        <v>0</v>
      </c>
      <c r="V55" s="54">
        <v>99</v>
      </c>
      <c r="W55" s="54">
        <v>391.05</v>
      </c>
      <c r="X55" s="54">
        <v>0</v>
      </c>
      <c r="Y55" s="55">
        <v>99</v>
      </c>
      <c r="Z55" s="56">
        <v>99</v>
      </c>
      <c r="AA55" s="54">
        <f t="shared" si="1"/>
        <v>0</v>
      </c>
      <c r="AB55" s="57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8" t="s">
        <v>390</v>
      </c>
      <c r="AL55" s="59" t="s">
        <v>390</v>
      </c>
      <c r="AM55" s="59">
        <v>1</v>
      </c>
      <c r="AN55" s="59">
        <v>0</v>
      </c>
      <c r="AO55" s="59">
        <v>1</v>
      </c>
      <c r="AP55" s="59">
        <v>1</v>
      </c>
      <c r="AQ55" s="59" t="s">
        <v>390</v>
      </c>
      <c r="AR55" s="59">
        <v>1</v>
      </c>
      <c r="AS55" s="59" t="s">
        <v>390</v>
      </c>
      <c r="AT55" s="60" t="s">
        <v>412</v>
      </c>
      <c r="AU55" s="61" t="s">
        <v>412</v>
      </c>
      <c r="AV55" s="61">
        <v>2</v>
      </c>
      <c r="AW55" s="61">
        <v>10</v>
      </c>
      <c r="AX55" s="61">
        <v>0</v>
      </c>
      <c r="AY55" s="61">
        <v>6</v>
      </c>
      <c r="AZ55" s="61">
        <v>12</v>
      </c>
      <c r="BA55" s="61">
        <v>2</v>
      </c>
      <c r="BB55" s="62">
        <v>9</v>
      </c>
      <c r="BC55" s="54" t="s">
        <v>412</v>
      </c>
      <c r="BD55" s="54" t="s">
        <v>412</v>
      </c>
      <c r="BE55" s="54" t="s">
        <v>391</v>
      </c>
      <c r="BF55" s="54" t="s">
        <v>391</v>
      </c>
      <c r="BG55" s="54" t="s">
        <v>391</v>
      </c>
      <c r="BH55" s="54" t="s">
        <v>391</v>
      </c>
      <c r="BI55" s="54" t="s">
        <v>391</v>
      </c>
      <c r="BJ55" s="54" t="s">
        <v>391</v>
      </c>
      <c r="BK55" s="54" t="s">
        <v>391</v>
      </c>
      <c r="BL55" s="53" t="s">
        <v>412</v>
      </c>
      <c r="BM55" s="54" t="s">
        <v>412</v>
      </c>
      <c r="BN55" s="54" t="s">
        <v>392</v>
      </c>
      <c r="BO55" s="54" t="s">
        <v>393</v>
      </c>
      <c r="BP55" s="54" t="s">
        <v>392</v>
      </c>
      <c r="BQ55" s="54" t="s">
        <v>392</v>
      </c>
      <c r="BR55" s="54" t="s">
        <v>393</v>
      </c>
      <c r="BS55" s="54" t="s">
        <v>392</v>
      </c>
      <c r="BT55" s="63" t="s">
        <v>392</v>
      </c>
      <c r="BU55" s="53" t="s">
        <v>412</v>
      </c>
      <c r="BV55" s="54" t="s">
        <v>412</v>
      </c>
      <c r="BW55" s="54" t="s">
        <v>392</v>
      </c>
      <c r="BX55" s="54" t="s">
        <v>392</v>
      </c>
      <c r="BY55" s="54" t="s">
        <v>392</v>
      </c>
      <c r="BZ55" s="54" t="s">
        <v>392</v>
      </c>
      <c r="CA55" s="54" t="s">
        <v>392</v>
      </c>
      <c r="CB55" s="54" t="s">
        <v>392</v>
      </c>
      <c r="CC55" s="54" t="s">
        <v>392</v>
      </c>
      <c r="CD55" s="57" t="s">
        <v>412</v>
      </c>
      <c r="CE55" s="51" t="s">
        <v>412</v>
      </c>
      <c r="CF55" s="51" t="s">
        <v>412</v>
      </c>
      <c r="CG55" s="51" t="s">
        <v>392</v>
      </c>
      <c r="CH55" s="51" t="s">
        <v>406</v>
      </c>
      <c r="CI55" s="51" t="s">
        <v>406</v>
      </c>
      <c r="CJ55" s="51" t="s">
        <v>392</v>
      </c>
      <c r="CK55" s="51" t="s">
        <v>406</v>
      </c>
      <c r="CL55" s="51" t="s">
        <v>392</v>
      </c>
      <c r="CM55" s="51" t="s">
        <v>394</v>
      </c>
      <c r="CN55" s="57"/>
      <c r="CO55" s="51"/>
      <c r="CP55" s="51" t="s">
        <v>412</v>
      </c>
      <c r="CQ55" s="51" t="s">
        <v>414</v>
      </c>
      <c r="CR55" s="51" t="s">
        <v>396</v>
      </c>
      <c r="CS55" s="51" t="s">
        <v>396</v>
      </c>
      <c r="CT55" s="51" t="s">
        <v>396</v>
      </c>
      <c r="CU55" s="51" t="s">
        <v>400</v>
      </c>
      <c r="CV55" s="51" t="s">
        <v>396</v>
      </c>
      <c r="CW55" s="57" t="s">
        <v>398</v>
      </c>
      <c r="CX55" s="51" t="s">
        <v>398</v>
      </c>
      <c r="CY55" s="51" t="s">
        <v>398</v>
      </c>
      <c r="CZ55" s="64" t="str">
        <f>IF(_xlfn.XLOOKUP(B55,[2]累计数据!$C$193:$C$245,[2]累计数据!$C$193:$C$245,"N")=B55,"Y","N")</f>
        <v>N</v>
      </c>
      <c r="DA55" s="58">
        <v>0.02</v>
      </c>
      <c r="DB55" s="59">
        <v>0.02</v>
      </c>
      <c r="DC55" s="59">
        <v>0.02</v>
      </c>
      <c r="DD55" s="65"/>
      <c r="DE55"/>
      <c r="DF55"/>
      <c r="DG55"/>
      <c r="DH55"/>
      <c r="DI55"/>
      <c r="DJ55" s="3"/>
    </row>
    <row r="56" customFormat="1" ht="22.5" customHeight="1" spans="1:114">
      <c r="A56" s="46">
        <v>12423</v>
      </c>
      <c r="B56" s="47" t="s">
        <v>439</v>
      </c>
      <c r="C56" s="48">
        <v>46104</v>
      </c>
      <c r="D56" s="49">
        <f>IF(_xlfn.XLOOKUP(A56,[1]分配表!J:J,[1]分配表!M:M)=0,"未出单",_xlfn.XLOOKUP(A56,[1]分配表!J:J,[1]分配表!M:M))</f>
        <v>46108</v>
      </c>
      <c r="E56" s="50" t="str">
        <f>_xlfn.XLOOKUP(A56,[1]分配表!A:A,[1]分配表!C:C)</f>
        <v>张潇</v>
      </c>
      <c r="F56" s="50" t="s">
        <v>52</v>
      </c>
      <c r="G56" s="50" t="s">
        <v>34</v>
      </c>
      <c r="H56" s="51">
        <v>0</v>
      </c>
      <c r="I56" s="51">
        <v>0</v>
      </c>
      <c r="J56" s="51">
        <v>0</v>
      </c>
      <c r="K56" s="51">
        <v>1</v>
      </c>
      <c r="L56" s="51">
        <v>1</v>
      </c>
      <c r="M56" s="51">
        <v>1</v>
      </c>
      <c r="N56" s="51">
        <v>0</v>
      </c>
      <c r="O56" s="51">
        <v>0</v>
      </c>
      <c r="P56" s="51">
        <v>1</v>
      </c>
      <c r="Q56" s="52">
        <f t="shared" si="0"/>
        <v>1</v>
      </c>
      <c r="R56" s="53">
        <v>0</v>
      </c>
      <c r="S56" s="54">
        <v>0</v>
      </c>
      <c r="T56" s="54">
        <v>0</v>
      </c>
      <c r="U56" s="54">
        <v>58</v>
      </c>
      <c r="V56" s="54">
        <v>58</v>
      </c>
      <c r="W56" s="54">
        <v>58</v>
      </c>
      <c r="X56" s="54">
        <v>0</v>
      </c>
      <c r="Y56" s="55">
        <v>0</v>
      </c>
      <c r="Z56" s="56">
        <v>58</v>
      </c>
      <c r="AA56" s="54">
        <f t="shared" si="1"/>
        <v>58</v>
      </c>
      <c r="AB56" s="57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8" t="s">
        <v>390</v>
      </c>
      <c r="AL56" s="59" t="s">
        <v>390</v>
      </c>
      <c r="AM56" s="59" t="s">
        <v>390</v>
      </c>
      <c r="AN56" s="59">
        <v>1</v>
      </c>
      <c r="AO56" s="59">
        <v>1</v>
      </c>
      <c r="AP56" s="59">
        <v>1</v>
      </c>
      <c r="AQ56" s="59">
        <v>1</v>
      </c>
      <c r="AR56" s="59" t="s">
        <v>390</v>
      </c>
      <c r="AS56" s="59">
        <v>1</v>
      </c>
      <c r="AT56" s="60" t="s">
        <v>412</v>
      </c>
      <c r="AU56" s="61" t="s">
        <v>412</v>
      </c>
      <c r="AV56" s="61">
        <v>1</v>
      </c>
      <c r="AW56" s="61">
        <v>9</v>
      </c>
      <c r="AX56" s="61">
        <v>0</v>
      </c>
      <c r="AY56" s="61">
        <v>6</v>
      </c>
      <c r="AZ56" s="61">
        <v>5</v>
      </c>
      <c r="BA56" s="61">
        <v>12</v>
      </c>
      <c r="BB56" s="62">
        <v>19</v>
      </c>
      <c r="BC56" s="54" t="s">
        <v>412</v>
      </c>
      <c r="BD56" s="54" t="s">
        <v>412</v>
      </c>
      <c r="BE56" s="54" t="s">
        <v>120</v>
      </c>
      <c r="BF56" s="54" t="s">
        <v>391</v>
      </c>
      <c r="BG56" s="54" t="s">
        <v>391</v>
      </c>
      <c r="BH56" s="54" t="s">
        <v>391</v>
      </c>
      <c r="BI56" s="54" t="s">
        <v>391</v>
      </c>
      <c r="BJ56" s="54" t="s">
        <v>391</v>
      </c>
      <c r="BK56" s="54" t="s">
        <v>391</v>
      </c>
      <c r="BL56" s="53" t="s">
        <v>412</v>
      </c>
      <c r="BM56" s="54" t="s">
        <v>412</v>
      </c>
      <c r="BN56" s="54" t="s">
        <v>392</v>
      </c>
      <c r="BO56" s="54" t="s">
        <v>393</v>
      </c>
      <c r="BP56" s="54" t="s">
        <v>392</v>
      </c>
      <c r="BQ56" s="54" t="s">
        <v>392</v>
      </c>
      <c r="BR56" s="54" t="s">
        <v>392</v>
      </c>
      <c r="BS56" s="54" t="s">
        <v>392</v>
      </c>
      <c r="BT56" s="63" t="s">
        <v>392</v>
      </c>
      <c r="BU56" s="53" t="s">
        <v>412</v>
      </c>
      <c r="BV56" s="54" t="s">
        <v>412</v>
      </c>
      <c r="BW56" s="54" t="s">
        <v>392</v>
      </c>
      <c r="BX56" s="54" t="s">
        <v>392</v>
      </c>
      <c r="BY56" s="54" t="s">
        <v>392</v>
      </c>
      <c r="BZ56" s="54" t="s">
        <v>392</v>
      </c>
      <c r="CA56" s="54" t="s">
        <v>392</v>
      </c>
      <c r="CB56" s="54" t="s">
        <v>392</v>
      </c>
      <c r="CC56" s="54" t="s">
        <v>392</v>
      </c>
      <c r="CD56" s="57" t="s">
        <v>412</v>
      </c>
      <c r="CE56" s="51" t="s">
        <v>412</v>
      </c>
      <c r="CF56" s="51" t="s">
        <v>412</v>
      </c>
      <c r="CG56" s="51" t="s">
        <v>394</v>
      </c>
      <c r="CH56" s="51" t="s">
        <v>392</v>
      </c>
      <c r="CI56" s="51" t="s">
        <v>392</v>
      </c>
      <c r="CJ56" s="51" t="s">
        <v>406</v>
      </c>
      <c r="CK56" s="51" t="s">
        <v>392</v>
      </c>
      <c r="CL56" s="51" t="s">
        <v>394</v>
      </c>
      <c r="CM56" s="51" t="s">
        <v>392</v>
      </c>
      <c r="CN56" s="57"/>
      <c r="CO56" s="51"/>
      <c r="CP56" s="51" t="s">
        <v>412</v>
      </c>
      <c r="CQ56" s="51" t="s">
        <v>395</v>
      </c>
      <c r="CR56" s="51" t="s">
        <v>396</v>
      </c>
      <c r="CS56" s="51" t="s">
        <v>396</v>
      </c>
      <c r="CT56" s="51" t="s">
        <v>396</v>
      </c>
      <c r="CU56" s="51" t="s">
        <v>396</v>
      </c>
      <c r="CV56" s="51" t="s">
        <v>396</v>
      </c>
      <c r="CW56" s="57" t="s">
        <v>398</v>
      </c>
      <c r="CX56" s="51" t="s">
        <v>398</v>
      </c>
      <c r="CY56" s="51" t="s">
        <v>398</v>
      </c>
      <c r="CZ56" s="64" t="str">
        <f>IF(_xlfn.XLOOKUP(B56,[2]累计数据!$C$193:$C$245,[2]累计数据!$C$193:$C$245,"N")=B56,"Y","N")</f>
        <v>N</v>
      </c>
      <c r="DA56" s="58">
        <v>0.02</v>
      </c>
      <c r="DB56" s="59">
        <v>0.02</v>
      </c>
      <c r="DC56" s="59">
        <v>0.02</v>
      </c>
      <c r="DD56" s="65"/>
      <c r="DE56"/>
      <c r="DF56"/>
      <c r="DG56"/>
      <c r="DH56"/>
      <c r="DI56"/>
      <c r="DJ56" s="3"/>
    </row>
    <row r="57" customFormat="1" ht="22.5" customHeight="1" spans="1:114">
      <c r="A57" s="46">
        <v>12387</v>
      </c>
      <c r="B57" s="47" t="s">
        <v>174</v>
      </c>
      <c r="C57" s="48">
        <v>46105</v>
      </c>
      <c r="D57" s="49">
        <f>IF(_xlfn.XLOOKUP(A57,[1]分配表!J:J,[1]分配表!M:M)=0,"未出单",_xlfn.XLOOKUP(A57,[1]分配表!J:J,[1]分配表!M:M))</f>
        <v>46125</v>
      </c>
      <c r="E57" s="50" t="str">
        <f>_xlfn.XLOOKUP(A57,[1]分配表!A:A,[1]分配表!C:C)</f>
        <v>俞东旭</v>
      </c>
      <c r="F57" s="50" t="s">
        <v>92</v>
      </c>
      <c r="G57" s="50" t="s">
        <v>34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2</v>
      </c>
      <c r="N57" s="51">
        <v>0</v>
      </c>
      <c r="O57" s="51">
        <v>0</v>
      </c>
      <c r="P57" s="51">
        <v>2</v>
      </c>
      <c r="Q57" s="52">
        <f t="shared" si="0"/>
        <v>2</v>
      </c>
      <c r="R57" s="53">
        <v>0</v>
      </c>
      <c r="S57" s="54">
        <v>0</v>
      </c>
      <c r="T57" s="54">
        <v>0</v>
      </c>
      <c r="U57" s="54">
        <v>0</v>
      </c>
      <c r="V57" s="54">
        <v>0</v>
      </c>
      <c r="W57" s="54">
        <v>70</v>
      </c>
      <c r="X57" s="54">
        <v>0</v>
      </c>
      <c r="Y57" s="55">
        <v>0</v>
      </c>
      <c r="Z57" s="56">
        <v>70</v>
      </c>
      <c r="AA57" s="54">
        <f t="shared" si="1"/>
        <v>70</v>
      </c>
      <c r="AB57" s="57">
        <v>0</v>
      </c>
      <c r="AC57" s="51">
        <v>0</v>
      </c>
      <c r="AD57" s="51">
        <v>0</v>
      </c>
      <c r="AE57" s="51">
        <v>6</v>
      </c>
      <c r="AF57" s="51">
        <v>1</v>
      </c>
      <c r="AG57" s="51">
        <v>1</v>
      </c>
      <c r="AH57" s="51">
        <v>4</v>
      </c>
      <c r="AI57" s="51">
        <v>4</v>
      </c>
      <c r="AJ57" s="51">
        <v>2</v>
      </c>
      <c r="AK57" s="58" t="s">
        <v>390</v>
      </c>
      <c r="AL57" s="59" t="s">
        <v>390</v>
      </c>
      <c r="AM57" s="59" t="s">
        <v>390</v>
      </c>
      <c r="AN57" s="59">
        <v>0</v>
      </c>
      <c r="AO57" s="59">
        <v>0</v>
      </c>
      <c r="AP57" s="59">
        <v>0.666666666666667</v>
      </c>
      <c r="AQ57" s="59">
        <v>0</v>
      </c>
      <c r="AR57" s="59">
        <v>0</v>
      </c>
      <c r="AS57" s="59">
        <v>0.5</v>
      </c>
      <c r="AT57" s="60" t="s">
        <v>412</v>
      </c>
      <c r="AU57" s="61" t="s">
        <v>412</v>
      </c>
      <c r="AV57" s="61">
        <v>46106</v>
      </c>
      <c r="AW57" s="61">
        <v>5</v>
      </c>
      <c r="AX57" s="61">
        <v>0</v>
      </c>
      <c r="AY57" s="61">
        <v>1</v>
      </c>
      <c r="AZ57" s="61">
        <v>1</v>
      </c>
      <c r="BA57" s="61">
        <v>1</v>
      </c>
      <c r="BB57" s="62">
        <v>8</v>
      </c>
      <c r="BC57" s="54" t="s">
        <v>412</v>
      </c>
      <c r="BD57" s="54" t="s">
        <v>412</v>
      </c>
      <c r="BE57" s="54" t="s">
        <v>120</v>
      </c>
      <c r="BF57" s="54" t="s">
        <v>120</v>
      </c>
      <c r="BG57" s="54" t="s">
        <v>120</v>
      </c>
      <c r="BH57" s="54" t="s">
        <v>120</v>
      </c>
      <c r="BI57" s="54" t="s">
        <v>398</v>
      </c>
      <c r="BJ57" s="54" t="s">
        <v>398</v>
      </c>
      <c r="BK57" s="54" t="s">
        <v>398</v>
      </c>
      <c r="BL57" s="53" t="s">
        <v>412</v>
      </c>
      <c r="BM57" s="54" t="s">
        <v>412</v>
      </c>
      <c r="BN57" s="54" t="s">
        <v>393</v>
      </c>
      <c r="BO57" s="54" t="s">
        <v>392</v>
      </c>
      <c r="BP57" s="54" t="s">
        <v>392</v>
      </c>
      <c r="BQ57" s="54" t="s">
        <v>392</v>
      </c>
      <c r="BR57" s="54" t="s">
        <v>392</v>
      </c>
      <c r="BS57" s="54" t="s">
        <v>392</v>
      </c>
      <c r="BT57" s="63" t="s">
        <v>393</v>
      </c>
      <c r="BU57" s="53" t="s">
        <v>412</v>
      </c>
      <c r="BV57" s="54" t="s">
        <v>412</v>
      </c>
      <c r="BW57" s="54" t="s">
        <v>393</v>
      </c>
      <c r="BX57" s="54" t="s">
        <v>392</v>
      </c>
      <c r="BY57" s="54" t="s">
        <v>392</v>
      </c>
      <c r="BZ57" s="54" t="s">
        <v>392</v>
      </c>
      <c r="CA57" s="54" t="s">
        <v>392</v>
      </c>
      <c r="CB57" s="54" t="s">
        <v>392</v>
      </c>
      <c r="CC57" s="54" t="s">
        <v>392</v>
      </c>
      <c r="CD57" s="57" t="s">
        <v>412</v>
      </c>
      <c r="CE57" s="51" t="s">
        <v>412</v>
      </c>
      <c r="CF57" s="51" t="s">
        <v>412</v>
      </c>
      <c r="CG57" s="51" t="s">
        <v>394</v>
      </c>
      <c r="CH57" s="51" t="s">
        <v>402</v>
      </c>
      <c r="CI57" s="51" t="s">
        <v>402</v>
      </c>
      <c r="CJ57" s="51" t="s">
        <v>402</v>
      </c>
      <c r="CK57" s="51" t="s">
        <v>402</v>
      </c>
      <c r="CL57" s="51" t="s">
        <v>402</v>
      </c>
      <c r="CM57" s="51" t="s">
        <v>402</v>
      </c>
      <c r="CN57" s="57"/>
      <c r="CO57" s="51"/>
      <c r="CP57" s="51" t="s">
        <v>412</v>
      </c>
      <c r="CQ57" s="51" t="s">
        <v>395</v>
      </c>
      <c r="CR57" s="51" t="s">
        <v>396</v>
      </c>
      <c r="CS57" s="51" t="s">
        <v>403</v>
      </c>
      <c r="CT57" s="51" t="s">
        <v>395</v>
      </c>
      <c r="CU57" s="51" t="s">
        <v>396</v>
      </c>
      <c r="CV57" s="51" t="s">
        <v>396</v>
      </c>
      <c r="CW57" s="57" t="s">
        <v>391</v>
      </c>
      <c r="CX57" s="51" t="s">
        <v>391</v>
      </c>
      <c r="CY57" s="51" t="s">
        <v>391</v>
      </c>
      <c r="CZ57" s="64" t="str">
        <f>IF(_xlfn.XLOOKUP(B57,[2]累计数据!$C$193:$C$245,[2]累计数据!$C$193:$C$245,"N")=B57,"Y","N")</f>
        <v>N</v>
      </c>
      <c r="DA57" s="58">
        <v>0.02</v>
      </c>
      <c r="DB57" s="59">
        <v>0.025</v>
      </c>
      <c r="DC57" s="59">
        <v>0.025</v>
      </c>
      <c r="DD57" s="69"/>
      <c r="DE57"/>
      <c r="DF57"/>
      <c r="DG57"/>
      <c r="DH57"/>
      <c r="DI57"/>
      <c r="DJ57" s="3"/>
    </row>
    <row r="58" customFormat="1" ht="22.5" customHeight="1" spans="1:114">
      <c r="A58" s="46">
        <v>12388</v>
      </c>
      <c r="B58" s="47" t="s">
        <v>171</v>
      </c>
      <c r="C58" s="48">
        <v>46105</v>
      </c>
      <c r="D58" s="49">
        <f>IF(_xlfn.XLOOKUP(A58,[1]分配表!J:J,[1]分配表!M:M)=0,"未出单",_xlfn.XLOOKUP(A58,[1]分配表!J:J,[1]分配表!M:M))</f>
        <v>46125</v>
      </c>
      <c r="E58" s="50" t="str">
        <f>_xlfn.XLOOKUP(A58,[1]分配表!A:A,[1]分配表!C:C)</f>
        <v>俞东旭</v>
      </c>
      <c r="F58" s="50" t="s">
        <v>92</v>
      </c>
      <c r="G58" s="50" t="s">
        <v>34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1</v>
      </c>
      <c r="N58" s="51">
        <v>0</v>
      </c>
      <c r="O58" s="51">
        <v>0</v>
      </c>
      <c r="P58" s="51">
        <v>0</v>
      </c>
      <c r="Q58" s="52">
        <f t="shared" si="0"/>
        <v>0</v>
      </c>
      <c r="R58" s="53">
        <v>0</v>
      </c>
      <c r="S58" s="54">
        <v>0</v>
      </c>
      <c r="T58" s="54">
        <v>0</v>
      </c>
      <c r="U58" s="54">
        <v>0</v>
      </c>
      <c r="V58" s="54">
        <v>0</v>
      </c>
      <c r="W58" s="54">
        <v>35</v>
      </c>
      <c r="X58" s="54">
        <v>0</v>
      </c>
      <c r="Y58" s="55">
        <v>0</v>
      </c>
      <c r="Z58" s="56">
        <v>0</v>
      </c>
      <c r="AA58" s="54">
        <f t="shared" si="1"/>
        <v>0</v>
      </c>
      <c r="AB58" s="57">
        <v>0</v>
      </c>
      <c r="AC58" s="51">
        <v>0</v>
      </c>
      <c r="AD58" s="51">
        <v>0</v>
      </c>
      <c r="AE58" s="51">
        <v>0</v>
      </c>
      <c r="AF58" s="51">
        <v>4</v>
      </c>
      <c r="AG58" s="51">
        <v>2</v>
      </c>
      <c r="AH58" s="51">
        <v>1</v>
      </c>
      <c r="AI58" s="51">
        <v>1</v>
      </c>
      <c r="AJ58" s="51">
        <v>2</v>
      </c>
      <c r="AK58" s="58" t="s">
        <v>390</v>
      </c>
      <c r="AL58" s="59" t="s">
        <v>390</v>
      </c>
      <c r="AM58" s="59" t="s">
        <v>390</v>
      </c>
      <c r="AN58" s="59">
        <v>0</v>
      </c>
      <c r="AO58" s="59">
        <v>0</v>
      </c>
      <c r="AP58" s="59">
        <v>0.333333333333333</v>
      </c>
      <c r="AQ58" s="59">
        <v>0</v>
      </c>
      <c r="AR58" s="59">
        <v>0</v>
      </c>
      <c r="AS58" s="59">
        <v>0</v>
      </c>
      <c r="AT58" s="60" t="s">
        <v>412</v>
      </c>
      <c r="AU58" s="61" t="s">
        <v>412</v>
      </c>
      <c r="AV58" s="61">
        <v>46106</v>
      </c>
      <c r="AW58" s="61">
        <v>5</v>
      </c>
      <c r="AX58" s="61">
        <v>0</v>
      </c>
      <c r="AY58" s="61">
        <v>1</v>
      </c>
      <c r="AZ58" s="61">
        <v>1</v>
      </c>
      <c r="BA58" s="61">
        <v>8</v>
      </c>
      <c r="BB58" s="62">
        <v>0</v>
      </c>
      <c r="BC58" s="54" t="s">
        <v>412</v>
      </c>
      <c r="BD58" s="54" t="s">
        <v>412</v>
      </c>
      <c r="BE58" s="54" t="s">
        <v>120</v>
      </c>
      <c r="BF58" s="54" t="s">
        <v>120</v>
      </c>
      <c r="BG58" s="54" t="s">
        <v>120</v>
      </c>
      <c r="BH58" s="54" t="s">
        <v>120</v>
      </c>
      <c r="BI58" s="54" t="s">
        <v>398</v>
      </c>
      <c r="BJ58" s="54" t="s">
        <v>398</v>
      </c>
      <c r="BK58" s="54" t="s">
        <v>398</v>
      </c>
      <c r="BL58" s="53" t="s">
        <v>412</v>
      </c>
      <c r="BM58" s="54" t="s">
        <v>412</v>
      </c>
      <c r="BN58" s="54" t="s">
        <v>393</v>
      </c>
      <c r="BO58" s="54" t="s">
        <v>392</v>
      </c>
      <c r="BP58" s="54" t="s">
        <v>392</v>
      </c>
      <c r="BQ58" s="54" t="s">
        <v>392</v>
      </c>
      <c r="BR58" s="54" t="s">
        <v>392</v>
      </c>
      <c r="BS58" s="54" t="s">
        <v>393</v>
      </c>
      <c r="BT58" s="63" t="s">
        <v>392</v>
      </c>
      <c r="BU58" s="53" t="s">
        <v>412</v>
      </c>
      <c r="BV58" s="54" t="s">
        <v>412</v>
      </c>
      <c r="BW58" s="54" t="s">
        <v>393</v>
      </c>
      <c r="BX58" s="54" t="s">
        <v>392</v>
      </c>
      <c r="BY58" s="54" t="s">
        <v>392</v>
      </c>
      <c r="BZ58" s="54" t="s">
        <v>392</v>
      </c>
      <c r="CA58" s="54" t="s">
        <v>392</v>
      </c>
      <c r="CB58" s="54" t="s">
        <v>392</v>
      </c>
      <c r="CC58" s="54" t="s">
        <v>392</v>
      </c>
      <c r="CD58" s="57" t="s">
        <v>412</v>
      </c>
      <c r="CE58" s="51" t="s">
        <v>412</v>
      </c>
      <c r="CF58" s="51" t="s">
        <v>412</v>
      </c>
      <c r="CG58" s="51" t="s">
        <v>394</v>
      </c>
      <c r="CH58" s="51" t="s">
        <v>402</v>
      </c>
      <c r="CI58" s="51" t="s">
        <v>402</v>
      </c>
      <c r="CJ58" s="51" t="s">
        <v>402</v>
      </c>
      <c r="CK58" s="51" t="s">
        <v>402</v>
      </c>
      <c r="CL58" s="51" t="s">
        <v>402</v>
      </c>
      <c r="CM58" s="51" t="s">
        <v>402</v>
      </c>
      <c r="CN58" s="57"/>
      <c r="CO58" s="51"/>
      <c r="CP58" s="51" t="s">
        <v>412</v>
      </c>
      <c r="CQ58" s="51" t="s">
        <v>395</v>
      </c>
      <c r="CR58" s="51" t="s">
        <v>396</v>
      </c>
      <c r="CS58" s="51" t="s">
        <v>403</v>
      </c>
      <c r="CT58" s="51" t="s">
        <v>395</v>
      </c>
      <c r="CU58" s="51" t="s">
        <v>396</v>
      </c>
      <c r="CV58" s="51" t="s">
        <v>395</v>
      </c>
      <c r="CW58" s="57" t="s">
        <v>391</v>
      </c>
      <c r="CX58" s="51" t="s">
        <v>391</v>
      </c>
      <c r="CY58" s="51" t="s">
        <v>391</v>
      </c>
      <c r="CZ58" s="64" t="str">
        <f>IF(_xlfn.XLOOKUP(B58,[2]累计数据!$C$193:$C$245,[2]累计数据!$C$193:$C$245,"N")=B58,"Y","N")</f>
        <v>N</v>
      </c>
      <c r="DA58" s="58">
        <v>0.02</v>
      </c>
      <c r="DB58" s="59">
        <v>0</v>
      </c>
      <c r="DC58" s="59">
        <v>0.025</v>
      </c>
      <c r="DD58" s="69"/>
      <c r="DE58"/>
      <c r="DF58"/>
      <c r="DG58"/>
      <c r="DH58"/>
      <c r="DI58"/>
      <c r="DJ58" s="3"/>
    </row>
    <row r="59" customFormat="1" ht="22.5" customHeight="1" spans="1:114">
      <c r="A59" s="46">
        <v>12474</v>
      </c>
      <c r="B59" s="47" t="s">
        <v>54</v>
      </c>
      <c r="C59" s="48">
        <v>46108</v>
      </c>
      <c r="D59" s="49">
        <f>IF(_xlfn.XLOOKUP(A59,[1]分配表!J:J,[1]分配表!M:M)=0,"未出单",_xlfn.XLOOKUP(A59,[1]分配表!J:J,[1]分配表!M:M))</f>
        <v>46116</v>
      </c>
      <c r="E59" s="50" t="str">
        <f>_xlfn.XLOOKUP(A59,[1]分配表!A:A,[1]分配表!C:C)</f>
        <v>张潇</v>
      </c>
      <c r="F59" s="50" t="s">
        <v>39</v>
      </c>
      <c r="G59" s="50" t="s">
        <v>45</v>
      </c>
      <c r="H59" s="51">
        <v>0</v>
      </c>
      <c r="I59" s="51">
        <v>0</v>
      </c>
      <c r="J59" s="51">
        <v>0</v>
      </c>
      <c r="K59" s="51">
        <v>0</v>
      </c>
      <c r="L59" s="51">
        <v>1</v>
      </c>
      <c r="M59" s="51">
        <v>6</v>
      </c>
      <c r="N59" s="51">
        <v>1</v>
      </c>
      <c r="O59" s="51">
        <v>6</v>
      </c>
      <c r="P59" s="51">
        <v>2</v>
      </c>
      <c r="Q59" s="52">
        <f t="shared" si="0"/>
        <v>-4</v>
      </c>
      <c r="R59" s="53">
        <v>0</v>
      </c>
      <c r="S59" s="54">
        <v>0</v>
      </c>
      <c r="T59" s="54">
        <v>0</v>
      </c>
      <c r="U59" s="54">
        <v>0</v>
      </c>
      <c r="V59" s="54">
        <v>95</v>
      </c>
      <c r="W59" s="54">
        <v>513</v>
      </c>
      <c r="X59" s="54">
        <v>85.5</v>
      </c>
      <c r="Y59" s="55">
        <v>513</v>
      </c>
      <c r="Z59" s="56">
        <v>171</v>
      </c>
      <c r="AA59" s="54">
        <f t="shared" si="1"/>
        <v>-342</v>
      </c>
      <c r="AB59" s="57">
        <v>0</v>
      </c>
      <c r="AC59" s="51">
        <v>0</v>
      </c>
      <c r="AD59" s="51">
        <v>0</v>
      </c>
      <c r="AE59" s="51">
        <v>0</v>
      </c>
      <c r="AF59" s="51">
        <v>1</v>
      </c>
      <c r="AG59" s="51">
        <v>0</v>
      </c>
      <c r="AH59" s="51">
        <v>0</v>
      </c>
      <c r="AI59" s="51">
        <v>0</v>
      </c>
      <c r="AJ59" s="51">
        <v>0</v>
      </c>
      <c r="AK59" s="58" t="s">
        <v>390</v>
      </c>
      <c r="AL59" s="59" t="s">
        <v>390</v>
      </c>
      <c r="AM59" s="59" t="s">
        <v>390</v>
      </c>
      <c r="AN59" s="59">
        <v>0</v>
      </c>
      <c r="AO59" s="59">
        <v>0.5</v>
      </c>
      <c r="AP59" s="59">
        <v>1</v>
      </c>
      <c r="AQ59" s="59">
        <v>1</v>
      </c>
      <c r="AR59" s="59">
        <v>1</v>
      </c>
      <c r="AS59" s="59">
        <v>1</v>
      </c>
      <c r="AT59" s="60" t="s">
        <v>412</v>
      </c>
      <c r="AU59" s="61" t="s">
        <v>412</v>
      </c>
      <c r="AV59" s="61" t="s">
        <v>412</v>
      </c>
      <c r="AW59" s="61">
        <v>5</v>
      </c>
      <c r="AX59" s="61">
        <v>0</v>
      </c>
      <c r="AY59" s="61">
        <v>3</v>
      </c>
      <c r="AZ59" s="61">
        <v>2</v>
      </c>
      <c r="BA59" s="61">
        <v>2</v>
      </c>
      <c r="BB59" s="62">
        <v>9</v>
      </c>
      <c r="BC59" s="54" t="s">
        <v>412</v>
      </c>
      <c r="BD59" s="54" t="s">
        <v>412</v>
      </c>
      <c r="BE59" s="54" t="s">
        <v>412</v>
      </c>
      <c r="BF59" s="54" t="s">
        <v>120</v>
      </c>
      <c r="BG59" s="54" t="s">
        <v>391</v>
      </c>
      <c r="BH59" s="54" t="s">
        <v>391</v>
      </c>
      <c r="BI59" s="54" t="s">
        <v>391</v>
      </c>
      <c r="BJ59" s="54" t="s">
        <v>391</v>
      </c>
      <c r="BK59" s="54" t="s">
        <v>391</v>
      </c>
      <c r="BL59" s="53" t="s">
        <v>412</v>
      </c>
      <c r="BM59" s="54" t="s">
        <v>412</v>
      </c>
      <c r="BN59" s="54" t="s">
        <v>412</v>
      </c>
      <c r="BO59" s="54" t="s">
        <v>392</v>
      </c>
      <c r="BP59" s="54" t="s">
        <v>392</v>
      </c>
      <c r="BQ59" s="54" t="s">
        <v>392</v>
      </c>
      <c r="BR59" s="54" t="s">
        <v>392</v>
      </c>
      <c r="BS59" s="54" t="s">
        <v>392</v>
      </c>
      <c r="BT59" s="63" t="s">
        <v>392</v>
      </c>
      <c r="BU59" s="53" t="s">
        <v>412</v>
      </c>
      <c r="BV59" s="54" t="s">
        <v>412</v>
      </c>
      <c r="BW59" s="54" t="s">
        <v>412</v>
      </c>
      <c r="BX59" s="54" t="s">
        <v>393</v>
      </c>
      <c r="BY59" s="54" t="s">
        <v>392</v>
      </c>
      <c r="BZ59" s="54" t="s">
        <v>392</v>
      </c>
      <c r="CA59" s="54" t="s">
        <v>392</v>
      </c>
      <c r="CB59" s="54" t="s">
        <v>392</v>
      </c>
      <c r="CC59" s="54" t="s">
        <v>392</v>
      </c>
      <c r="CD59" s="57" t="s">
        <v>412</v>
      </c>
      <c r="CE59" s="51" t="s">
        <v>412</v>
      </c>
      <c r="CF59" s="51" t="s">
        <v>412</v>
      </c>
      <c r="CG59" s="51" t="s">
        <v>412</v>
      </c>
      <c r="CH59" s="51" t="s">
        <v>394</v>
      </c>
      <c r="CI59" s="51" t="s">
        <v>402</v>
      </c>
      <c r="CJ59" s="51" t="s">
        <v>392</v>
      </c>
      <c r="CK59" s="51" t="s">
        <v>392</v>
      </c>
      <c r="CL59" s="51" t="s">
        <v>392</v>
      </c>
      <c r="CM59" s="51" t="s">
        <v>392</v>
      </c>
      <c r="CN59" s="57"/>
      <c r="CO59" s="51"/>
      <c r="CP59" s="51" t="s">
        <v>412</v>
      </c>
      <c r="CQ59" s="51" t="s">
        <v>414</v>
      </c>
      <c r="CR59" s="51" t="s">
        <v>396</v>
      </c>
      <c r="CS59" s="51" t="s">
        <v>396</v>
      </c>
      <c r="CT59" s="51" t="s">
        <v>396</v>
      </c>
      <c r="CU59" s="51" t="s">
        <v>396</v>
      </c>
      <c r="CV59" s="51" t="s">
        <v>396</v>
      </c>
      <c r="CW59" s="57" t="s">
        <v>391</v>
      </c>
      <c r="CX59" s="51" t="s">
        <v>391</v>
      </c>
      <c r="CY59" s="51" t="s">
        <v>391</v>
      </c>
      <c r="CZ59" s="64" t="str">
        <f>IF(_xlfn.XLOOKUP(B59,[2]累计数据!$C$193:$C$245,[2]累计数据!$C$193:$C$245,"N")=B59,"Y","N")</f>
        <v>Y</v>
      </c>
      <c r="DA59" s="58">
        <v>0.02</v>
      </c>
      <c r="DB59" s="59">
        <v>0.02</v>
      </c>
      <c r="DC59" s="59">
        <v>0</v>
      </c>
      <c r="DD59" s="65"/>
      <c r="DE59"/>
      <c r="DF59"/>
      <c r="DG59"/>
      <c r="DH59"/>
      <c r="DI59"/>
      <c r="DJ59" s="3"/>
    </row>
    <row r="60" customFormat="1" ht="22.5" customHeight="1" spans="1:114">
      <c r="A60" s="46">
        <v>12429</v>
      </c>
      <c r="B60" s="47" t="s">
        <v>440</v>
      </c>
      <c r="C60" s="48">
        <v>46108</v>
      </c>
      <c r="D60" s="49">
        <f>IF(_xlfn.XLOOKUP(A60,[1]分配表!J:J,[1]分配表!M:M)=0,"未出单",_xlfn.XLOOKUP(A60,[1]分配表!J:J,[1]分配表!M:M))</f>
        <v>46111</v>
      </c>
      <c r="E60" s="50" t="str">
        <f>_xlfn.XLOOKUP(A60,[1]分配表!A:A,[1]分配表!C:C)</f>
        <v>俞东旭</v>
      </c>
      <c r="F60" s="50" t="s">
        <v>44</v>
      </c>
      <c r="G60" s="50" t="s">
        <v>45</v>
      </c>
      <c r="H60" s="51">
        <v>0</v>
      </c>
      <c r="I60" s="51">
        <v>0</v>
      </c>
      <c r="J60" s="51">
        <v>0</v>
      </c>
      <c r="K60" s="51">
        <v>1</v>
      </c>
      <c r="L60" s="51">
        <v>0</v>
      </c>
      <c r="M60" s="51">
        <v>0</v>
      </c>
      <c r="N60" s="51">
        <v>0</v>
      </c>
      <c r="O60" s="51">
        <v>0</v>
      </c>
      <c r="P60" s="51">
        <v>2</v>
      </c>
      <c r="Q60" s="52">
        <f t="shared" si="0"/>
        <v>2</v>
      </c>
      <c r="R60" s="53">
        <v>0</v>
      </c>
      <c r="S60" s="54">
        <v>0</v>
      </c>
      <c r="T60" s="54">
        <v>0</v>
      </c>
      <c r="U60" s="54">
        <v>160</v>
      </c>
      <c r="V60" s="54">
        <v>0</v>
      </c>
      <c r="W60" s="54">
        <v>0</v>
      </c>
      <c r="X60" s="54">
        <v>0</v>
      </c>
      <c r="Y60" s="55">
        <v>0</v>
      </c>
      <c r="Z60" s="56">
        <v>510</v>
      </c>
      <c r="AA60" s="54">
        <f t="shared" si="1"/>
        <v>510</v>
      </c>
      <c r="AB60" s="57">
        <v>0</v>
      </c>
      <c r="AC60" s="51">
        <v>0</v>
      </c>
      <c r="AD60" s="51">
        <v>0</v>
      </c>
      <c r="AE60" s="51">
        <v>0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8" t="s">
        <v>390</v>
      </c>
      <c r="AL60" s="59" t="s">
        <v>390</v>
      </c>
      <c r="AM60" s="59" t="s">
        <v>390</v>
      </c>
      <c r="AN60" s="59">
        <v>1</v>
      </c>
      <c r="AO60" s="59">
        <v>0</v>
      </c>
      <c r="AP60" s="59">
        <v>0</v>
      </c>
      <c r="AQ60" s="59" t="s">
        <v>390</v>
      </c>
      <c r="AR60" s="59" t="s">
        <v>390</v>
      </c>
      <c r="AS60" s="59">
        <v>1</v>
      </c>
      <c r="AT60" s="60" t="s">
        <v>412</v>
      </c>
      <c r="AU60" s="61" t="s">
        <v>412</v>
      </c>
      <c r="AV60" s="61" t="s">
        <v>412</v>
      </c>
      <c r="AW60" s="61">
        <v>5</v>
      </c>
      <c r="AX60" s="61">
        <v>0</v>
      </c>
      <c r="AY60" s="61">
        <v>8</v>
      </c>
      <c r="AZ60" s="61">
        <v>1</v>
      </c>
      <c r="BA60" s="61">
        <v>5</v>
      </c>
      <c r="BB60" s="62">
        <v>12</v>
      </c>
      <c r="BC60" s="54" t="s">
        <v>412</v>
      </c>
      <c r="BD60" s="54" t="s">
        <v>412</v>
      </c>
      <c r="BE60" s="54" t="s">
        <v>412</v>
      </c>
      <c r="BF60" s="54" t="s">
        <v>391</v>
      </c>
      <c r="BG60" s="54" t="s">
        <v>391</v>
      </c>
      <c r="BH60" s="54" t="s">
        <v>391</v>
      </c>
      <c r="BI60" s="54" t="s">
        <v>391</v>
      </c>
      <c r="BJ60" s="54" t="s">
        <v>391</v>
      </c>
      <c r="BK60" s="54" t="s">
        <v>391</v>
      </c>
      <c r="BL60" s="53" t="s">
        <v>412</v>
      </c>
      <c r="BM60" s="54" t="s">
        <v>412</v>
      </c>
      <c r="BN60" s="54" t="s">
        <v>412</v>
      </c>
      <c r="BO60" s="54" t="s">
        <v>392</v>
      </c>
      <c r="BP60" s="54" t="s">
        <v>392</v>
      </c>
      <c r="BQ60" s="54" t="s">
        <v>393</v>
      </c>
      <c r="BR60" s="54" t="s">
        <v>392</v>
      </c>
      <c r="BS60" s="54" t="s">
        <v>392</v>
      </c>
      <c r="BT60" s="63" t="s">
        <v>392</v>
      </c>
      <c r="BU60" s="53" t="s">
        <v>412</v>
      </c>
      <c r="BV60" s="54" t="s">
        <v>412</v>
      </c>
      <c r="BW60" s="54" t="s">
        <v>412</v>
      </c>
      <c r="BX60" s="54" t="s">
        <v>393</v>
      </c>
      <c r="BY60" s="54" t="s">
        <v>392</v>
      </c>
      <c r="BZ60" s="54" t="s">
        <v>392</v>
      </c>
      <c r="CA60" s="54" t="s">
        <v>392</v>
      </c>
      <c r="CB60" s="54" t="s">
        <v>392</v>
      </c>
      <c r="CC60" s="54" t="s">
        <v>392</v>
      </c>
      <c r="CD60" s="57" t="s">
        <v>412</v>
      </c>
      <c r="CE60" s="51" t="s">
        <v>412</v>
      </c>
      <c r="CF60" s="51" t="s">
        <v>412</v>
      </c>
      <c r="CG60" s="51" t="s">
        <v>412</v>
      </c>
      <c r="CH60" s="51" t="s">
        <v>392</v>
      </c>
      <c r="CI60" s="51" t="s">
        <v>406</v>
      </c>
      <c r="CJ60" s="51" t="s">
        <v>406</v>
      </c>
      <c r="CK60" s="51" t="s">
        <v>406</v>
      </c>
      <c r="CL60" s="51" t="s">
        <v>406</v>
      </c>
      <c r="CM60" s="51" t="s">
        <v>392</v>
      </c>
      <c r="CN60" s="57"/>
      <c r="CO60" s="51"/>
      <c r="CP60" s="51" t="s">
        <v>412</v>
      </c>
      <c r="CQ60" s="51" t="s">
        <v>400</v>
      </c>
      <c r="CR60" s="51" t="s">
        <v>396</v>
      </c>
      <c r="CS60" s="51" t="s">
        <v>396</v>
      </c>
      <c r="CT60" s="51" t="s">
        <v>400</v>
      </c>
      <c r="CU60" s="51" t="s">
        <v>396</v>
      </c>
      <c r="CV60" s="51" t="s">
        <v>396</v>
      </c>
      <c r="CW60" s="57" t="s">
        <v>398</v>
      </c>
      <c r="CX60" s="51" t="s">
        <v>398</v>
      </c>
      <c r="CY60" s="51" t="s">
        <v>398</v>
      </c>
      <c r="CZ60" s="64" t="str">
        <f>IF(_xlfn.XLOOKUP(B60,[2]累计数据!$C$193:$C$245,[2]累计数据!$C$193:$C$245,"N")=B60,"Y","N")</f>
        <v>N</v>
      </c>
      <c r="DA60" s="58">
        <v>0.02</v>
      </c>
      <c r="DB60" s="59">
        <v>0</v>
      </c>
      <c r="DC60" s="59">
        <v>0</v>
      </c>
      <c r="DD60" s="65"/>
      <c r="DE60"/>
      <c r="DF60"/>
      <c r="DG60"/>
      <c r="DH60"/>
      <c r="DI60"/>
      <c r="DJ60" s="3"/>
    </row>
    <row r="61" customFormat="1" ht="22.5" customHeight="1" spans="1:114">
      <c r="A61" s="46">
        <v>12424</v>
      </c>
      <c r="B61" s="47" t="s">
        <v>219</v>
      </c>
      <c r="C61" s="48">
        <v>46108</v>
      </c>
      <c r="D61" s="49" t="str">
        <f>IF(_xlfn.XLOOKUP(A61,[1]分配表!J:J,[1]分配表!M:M)=0,"未出单",_xlfn.XLOOKUP(A61,[1]分配表!J:J,[1]分配表!M:M))</f>
        <v>未出单</v>
      </c>
      <c r="E61" s="50" t="str">
        <f>_xlfn.XLOOKUP(A61,[1]分配表!A:A,[1]分配表!C:C)</f>
        <v>俞东旭</v>
      </c>
      <c r="F61" s="50" t="s">
        <v>44</v>
      </c>
      <c r="G61" s="50" t="s">
        <v>45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2">
        <f t="shared" si="0"/>
        <v>0</v>
      </c>
      <c r="R61" s="53">
        <v>0</v>
      </c>
      <c r="S61" s="54">
        <v>0</v>
      </c>
      <c r="T61" s="54">
        <v>0</v>
      </c>
      <c r="U61" s="54">
        <v>0</v>
      </c>
      <c r="V61" s="54">
        <v>0</v>
      </c>
      <c r="W61" s="54">
        <v>0</v>
      </c>
      <c r="X61" s="54">
        <v>0</v>
      </c>
      <c r="Y61" s="55">
        <v>0</v>
      </c>
      <c r="Z61" s="56">
        <v>0</v>
      </c>
      <c r="AA61" s="54">
        <f t="shared" si="1"/>
        <v>0</v>
      </c>
      <c r="AB61" s="57">
        <v>0</v>
      </c>
      <c r="AC61" s="51">
        <v>0</v>
      </c>
      <c r="AD61" s="51">
        <v>0</v>
      </c>
      <c r="AE61" s="51">
        <v>0</v>
      </c>
      <c r="AF61" s="51">
        <v>0</v>
      </c>
      <c r="AG61" s="51">
        <v>0</v>
      </c>
      <c r="AH61" s="51">
        <v>0</v>
      </c>
      <c r="AI61" s="51">
        <v>0</v>
      </c>
      <c r="AJ61" s="51">
        <v>0</v>
      </c>
      <c r="AK61" s="58" t="s">
        <v>390</v>
      </c>
      <c r="AL61" s="59" t="s">
        <v>390</v>
      </c>
      <c r="AM61" s="59" t="s">
        <v>390</v>
      </c>
      <c r="AN61" s="59">
        <v>0</v>
      </c>
      <c r="AO61" s="59">
        <v>0</v>
      </c>
      <c r="AP61" s="59">
        <v>0</v>
      </c>
      <c r="AQ61" s="59" t="s">
        <v>390</v>
      </c>
      <c r="AR61" s="59" t="s">
        <v>390</v>
      </c>
      <c r="AS61" s="59" t="s">
        <v>390</v>
      </c>
      <c r="AT61" s="60" t="s">
        <v>412</v>
      </c>
      <c r="AU61" s="61" t="s">
        <v>412</v>
      </c>
      <c r="AV61" s="61" t="s">
        <v>412</v>
      </c>
      <c r="AW61" s="61">
        <v>5</v>
      </c>
      <c r="AX61" s="61">
        <v>0</v>
      </c>
      <c r="AY61" s="61">
        <v>1</v>
      </c>
      <c r="AZ61" s="61">
        <v>1</v>
      </c>
      <c r="BA61" s="61">
        <v>1</v>
      </c>
      <c r="BB61" s="62">
        <v>0</v>
      </c>
      <c r="BC61" s="54" t="s">
        <v>412</v>
      </c>
      <c r="BD61" s="54" t="s">
        <v>412</v>
      </c>
      <c r="BE61" s="54" t="s">
        <v>412</v>
      </c>
      <c r="BF61" s="54" t="s">
        <v>120</v>
      </c>
      <c r="BG61" s="54" t="s">
        <v>120</v>
      </c>
      <c r="BH61" s="54" t="s">
        <v>120</v>
      </c>
      <c r="BI61" s="54" t="s">
        <v>120</v>
      </c>
      <c r="BJ61" s="54" t="s">
        <v>120</v>
      </c>
      <c r="BK61" s="54" t="s">
        <v>120</v>
      </c>
      <c r="BL61" s="53" t="s">
        <v>412</v>
      </c>
      <c r="BM61" s="54" t="s">
        <v>412</v>
      </c>
      <c r="BN61" s="54" t="s">
        <v>412</v>
      </c>
      <c r="BO61" s="54" t="s">
        <v>392</v>
      </c>
      <c r="BP61" s="54" t="s">
        <v>392</v>
      </c>
      <c r="BQ61" s="54" t="s">
        <v>392</v>
      </c>
      <c r="BR61" s="54" t="s">
        <v>392</v>
      </c>
      <c r="BS61" s="54" t="s">
        <v>392</v>
      </c>
      <c r="BT61" s="63" t="s">
        <v>392</v>
      </c>
      <c r="BU61" s="53" t="s">
        <v>412</v>
      </c>
      <c r="BV61" s="54" t="s">
        <v>412</v>
      </c>
      <c r="BW61" s="54" t="s">
        <v>412</v>
      </c>
      <c r="BX61" s="54" t="s">
        <v>393</v>
      </c>
      <c r="BY61" s="54" t="s">
        <v>392</v>
      </c>
      <c r="BZ61" s="54" t="s">
        <v>392</v>
      </c>
      <c r="CA61" s="54" t="s">
        <v>392</v>
      </c>
      <c r="CB61" s="54" t="s">
        <v>392</v>
      </c>
      <c r="CC61" s="54" t="s">
        <v>392</v>
      </c>
      <c r="CD61" s="57" t="s">
        <v>412</v>
      </c>
      <c r="CE61" s="51" t="s">
        <v>412</v>
      </c>
      <c r="CF61" s="51" t="s">
        <v>412</v>
      </c>
      <c r="CG61" s="51" t="s">
        <v>412</v>
      </c>
      <c r="CH61" s="51" t="s">
        <v>394</v>
      </c>
      <c r="CI61" s="51" t="s">
        <v>406</v>
      </c>
      <c r="CJ61" s="51" t="s">
        <v>394</v>
      </c>
      <c r="CK61" s="51" t="s">
        <v>394</v>
      </c>
      <c r="CL61" s="51" t="s">
        <v>394</v>
      </c>
      <c r="CM61" s="51" t="s">
        <v>394</v>
      </c>
      <c r="CN61" s="57"/>
      <c r="CO61" s="51"/>
      <c r="CP61" s="51" t="s">
        <v>412</v>
      </c>
      <c r="CQ61" s="51" t="s">
        <v>400</v>
      </c>
      <c r="CR61" s="51" t="s">
        <v>396</v>
      </c>
      <c r="CS61" s="51" t="s">
        <v>414</v>
      </c>
      <c r="CT61" s="51" t="s">
        <v>403</v>
      </c>
      <c r="CU61" s="51" t="s">
        <v>395</v>
      </c>
      <c r="CV61" s="51" t="s">
        <v>395</v>
      </c>
      <c r="CW61" s="57" t="s">
        <v>398</v>
      </c>
      <c r="CX61" s="51" t="s">
        <v>398</v>
      </c>
      <c r="CY61" s="51" t="s">
        <v>391</v>
      </c>
      <c r="CZ61" s="64" t="str">
        <f>IF(_xlfn.XLOOKUP(B61,[2]累计数据!$C$193:$C$245,[2]累计数据!$C$193:$C$245,"N")=B61,"Y","N")</f>
        <v>Y</v>
      </c>
      <c r="DA61" s="58">
        <v>0.02</v>
      </c>
      <c r="DB61" s="59">
        <v>0.02</v>
      </c>
      <c r="DC61" s="59">
        <v>0.02</v>
      </c>
      <c r="DD61" s="65"/>
      <c r="DE61"/>
      <c r="DF61"/>
      <c r="DG61"/>
      <c r="DH61"/>
      <c r="DI61"/>
      <c r="DJ61" s="3"/>
    </row>
    <row r="62" customFormat="1" ht="22.5" customHeight="1" spans="1:114">
      <c r="A62" s="46">
        <v>12386</v>
      </c>
      <c r="B62" s="47" t="s">
        <v>441</v>
      </c>
      <c r="C62" s="48">
        <v>46108</v>
      </c>
      <c r="D62" s="49">
        <f>IF(_xlfn.XLOOKUP(A62,[1]分配表!J:J,[1]分配表!M:M)=0,"未出单",_xlfn.XLOOKUP(A62,[1]分配表!J:J,[1]分配表!M:M))</f>
        <v>46123</v>
      </c>
      <c r="E62" s="50" t="str">
        <f>_xlfn.XLOOKUP(A62,[1]分配表!A:A,[1]分配表!C:C)</f>
        <v>俞东旭</v>
      </c>
      <c r="F62" s="50" t="s">
        <v>44</v>
      </c>
      <c r="G62" s="50" t="s">
        <v>45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1</v>
      </c>
      <c r="N62" s="51">
        <v>0</v>
      </c>
      <c r="O62" s="51">
        <v>0</v>
      </c>
      <c r="P62" s="51">
        <v>1</v>
      </c>
      <c r="Q62" s="52">
        <f t="shared" si="0"/>
        <v>1</v>
      </c>
      <c r="R62" s="53">
        <v>0</v>
      </c>
      <c r="S62" s="54">
        <v>0</v>
      </c>
      <c r="T62" s="54">
        <v>0</v>
      </c>
      <c r="U62" s="54">
        <v>0</v>
      </c>
      <c r="V62" s="54">
        <v>0</v>
      </c>
      <c r="W62" s="54">
        <v>30.59</v>
      </c>
      <c r="X62" s="54">
        <v>0</v>
      </c>
      <c r="Y62" s="55">
        <v>0</v>
      </c>
      <c r="Z62" s="56">
        <v>30.59</v>
      </c>
      <c r="AA62" s="54">
        <f t="shared" si="1"/>
        <v>30.59</v>
      </c>
      <c r="AB62" s="57">
        <v>0</v>
      </c>
      <c r="AC62" s="51">
        <v>0</v>
      </c>
      <c r="AD62" s="51">
        <v>0</v>
      </c>
      <c r="AE62" s="51">
        <v>3</v>
      </c>
      <c r="AF62" s="51">
        <v>6</v>
      </c>
      <c r="AG62" s="51">
        <v>6</v>
      </c>
      <c r="AH62" s="51">
        <v>6</v>
      </c>
      <c r="AI62" s="51">
        <v>9</v>
      </c>
      <c r="AJ62" s="51">
        <v>2</v>
      </c>
      <c r="AK62" s="58" t="s">
        <v>390</v>
      </c>
      <c r="AL62" s="59" t="s">
        <v>390</v>
      </c>
      <c r="AM62" s="59" t="s">
        <v>390</v>
      </c>
      <c r="AN62" s="59">
        <v>0</v>
      </c>
      <c r="AO62" s="59">
        <v>0</v>
      </c>
      <c r="AP62" s="59">
        <v>0.142857142857143</v>
      </c>
      <c r="AQ62" s="59">
        <v>0</v>
      </c>
      <c r="AR62" s="59">
        <v>0</v>
      </c>
      <c r="AS62" s="59">
        <v>0.3333</v>
      </c>
      <c r="AT62" s="60" t="s">
        <v>412</v>
      </c>
      <c r="AU62" s="61" t="s">
        <v>412</v>
      </c>
      <c r="AV62" s="61" t="s">
        <v>412</v>
      </c>
      <c r="AW62" s="61">
        <v>5</v>
      </c>
      <c r="AX62" s="61">
        <v>1</v>
      </c>
      <c r="AY62" s="61">
        <v>2</v>
      </c>
      <c r="AZ62" s="61">
        <v>1</v>
      </c>
      <c r="BA62" s="61">
        <v>8</v>
      </c>
      <c r="BB62" s="62">
        <v>0</v>
      </c>
      <c r="BC62" s="54" t="s">
        <v>412</v>
      </c>
      <c r="BD62" s="54" t="s">
        <v>412</v>
      </c>
      <c r="BE62" s="54" t="s">
        <v>412</v>
      </c>
      <c r="BF62" s="54" t="s">
        <v>120</v>
      </c>
      <c r="BG62" s="54" t="s">
        <v>120</v>
      </c>
      <c r="BH62" s="54" t="s">
        <v>120</v>
      </c>
      <c r="BI62" s="54" t="s">
        <v>398</v>
      </c>
      <c r="BJ62" s="54" t="s">
        <v>398</v>
      </c>
      <c r="BK62" s="54" t="s">
        <v>398</v>
      </c>
      <c r="BL62" s="53" t="s">
        <v>412</v>
      </c>
      <c r="BM62" s="54" t="s">
        <v>412</v>
      </c>
      <c r="BN62" s="54" t="s">
        <v>412</v>
      </c>
      <c r="BO62" s="54" t="s">
        <v>392</v>
      </c>
      <c r="BP62" s="54" t="s">
        <v>392</v>
      </c>
      <c r="BQ62" s="54" t="s">
        <v>392</v>
      </c>
      <c r="BR62" s="54" t="s">
        <v>392</v>
      </c>
      <c r="BS62" s="54" t="s">
        <v>393</v>
      </c>
      <c r="BT62" s="63" t="s">
        <v>392</v>
      </c>
      <c r="BU62" s="53" t="s">
        <v>412</v>
      </c>
      <c r="BV62" s="54" t="s">
        <v>412</v>
      </c>
      <c r="BW62" s="54" t="s">
        <v>412</v>
      </c>
      <c r="BX62" s="54" t="s">
        <v>393</v>
      </c>
      <c r="BY62" s="54" t="s">
        <v>392</v>
      </c>
      <c r="BZ62" s="54" t="s">
        <v>392</v>
      </c>
      <c r="CA62" s="54" t="s">
        <v>392</v>
      </c>
      <c r="CB62" s="54" t="s">
        <v>392</v>
      </c>
      <c r="CC62" s="54" t="s">
        <v>392</v>
      </c>
      <c r="CD62" s="57" t="s">
        <v>412</v>
      </c>
      <c r="CE62" s="51" t="s">
        <v>412</v>
      </c>
      <c r="CF62" s="51" t="s">
        <v>412</v>
      </c>
      <c r="CG62" s="51" t="s">
        <v>412</v>
      </c>
      <c r="CH62" s="51" t="s">
        <v>402</v>
      </c>
      <c r="CI62" s="51" t="s">
        <v>402</v>
      </c>
      <c r="CJ62" s="51" t="s">
        <v>402</v>
      </c>
      <c r="CK62" s="51" t="s">
        <v>402</v>
      </c>
      <c r="CL62" s="51" t="s">
        <v>402</v>
      </c>
      <c r="CM62" s="51" t="s">
        <v>402</v>
      </c>
      <c r="CN62" s="57"/>
      <c r="CO62" s="51"/>
      <c r="CP62" s="51" t="s">
        <v>412</v>
      </c>
      <c r="CQ62" s="51" t="s">
        <v>400</v>
      </c>
      <c r="CR62" s="51" t="s">
        <v>396</v>
      </c>
      <c r="CS62" s="51" t="s">
        <v>400</v>
      </c>
      <c r="CT62" s="51" t="s">
        <v>403</v>
      </c>
      <c r="CU62" s="51" t="s">
        <v>396</v>
      </c>
      <c r="CV62" s="51" t="s">
        <v>403</v>
      </c>
      <c r="CW62" s="57" t="s">
        <v>398</v>
      </c>
      <c r="CX62" s="51" t="s">
        <v>398</v>
      </c>
      <c r="CY62" s="51" t="s">
        <v>398</v>
      </c>
      <c r="CZ62" s="64" t="str">
        <f>IF(_xlfn.XLOOKUP(B62,[2]累计数据!$C$193:$C$245,[2]累计数据!$C$193:$C$245,"N")=B62,"Y","N")</f>
        <v>N</v>
      </c>
      <c r="DA62" s="58">
        <v>0.02</v>
      </c>
      <c r="DB62" s="59">
        <v>0.03</v>
      </c>
      <c r="DC62" s="59">
        <v>0.03</v>
      </c>
      <c r="DD62" s="65"/>
      <c r="DE62"/>
      <c r="DF62"/>
      <c r="DG62"/>
      <c r="DH62"/>
      <c r="DI62"/>
      <c r="DJ62" s="3"/>
    </row>
    <row r="63" customFormat="1" ht="22.5" customHeight="1" spans="1:114">
      <c r="A63" s="46">
        <v>12426</v>
      </c>
      <c r="B63" s="47" t="s">
        <v>442</v>
      </c>
      <c r="C63" s="48">
        <v>46108</v>
      </c>
      <c r="D63" s="49">
        <f>IF(_xlfn.XLOOKUP(A63,[1]分配表!J:J,[1]分配表!M:M)=0,"未出单",_xlfn.XLOOKUP(A63,[1]分配表!J:J,[1]分配表!M:M))</f>
        <v>46115</v>
      </c>
      <c r="E63" s="50" t="str">
        <f>_xlfn.XLOOKUP(A63,[1]分配表!A:A,[1]分配表!C:C)</f>
        <v>胡煜星</v>
      </c>
      <c r="F63" s="50" t="s">
        <v>44</v>
      </c>
      <c r="G63" s="50" t="s">
        <v>34</v>
      </c>
      <c r="H63" s="51">
        <v>0</v>
      </c>
      <c r="I63" s="51">
        <v>0</v>
      </c>
      <c r="J63" s="51">
        <v>0</v>
      </c>
      <c r="K63" s="51">
        <v>0</v>
      </c>
      <c r="L63" s="51">
        <v>2</v>
      </c>
      <c r="M63" s="51">
        <v>3</v>
      </c>
      <c r="N63" s="51">
        <v>4</v>
      </c>
      <c r="O63" s="51">
        <v>6</v>
      </c>
      <c r="P63" s="51">
        <v>5</v>
      </c>
      <c r="Q63" s="52">
        <f t="shared" si="0"/>
        <v>-1</v>
      </c>
      <c r="R63" s="53">
        <v>0</v>
      </c>
      <c r="S63" s="54">
        <v>0</v>
      </c>
      <c r="T63" s="54">
        <v>0</v>
      </c>
      <c r="U63" s="54">
        <v>0</v>
      </c>
      <c r="V63" s="54">
        <v>130</v>
      </c>
      <c r="W63" s="54">
        <v>195</v>
      </c>
      <c r="X63" s="54">
        <v>260</v>
      </c>
      <c r="Y63" s="55">
        <v>383.5</v>
      </c>
      <c r="Z63" s="56">
        <v>325</v>
      </c>
      <c r="AA63" s="54">
        <f t="shared" si="1"/>
        <v>-58.5</v>
      </c>
      <c r="AB63" s="57">
        <v>0</v>
      </c>
      <c r="AC63" s="51">
        <v>0</v>
      </c>
      <c r="AD63" s="51">
        <v>0</v>
      </c>
      <c r="AE63" s="51">
        <v>1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8" t="s">
        <v>390</v>
      </c>
      <c r="AL63" s="59" t="s">
        <v>390</v>
      </c>
      <c r="AM63" s="59" t="s">
        <v>390</v>
      </c>
      <c r="AN63" s="59">
        <v>0</v>
      </c>
      <c r="AO63" s="59">
        <v>1</v>
      </c>
      <c r="AP63" s="59">
        <v>1</v>
      </c>
      <c r="AQ63" s="59">
        <v>1</v>
      </c>
      <c r="AR63" s="59">
        <v>1</v>
      </c>
      <c r="AS63" s="59">
        <v>1</v>
      </c>
      <c r="AT63" s="60" t="s">
        <v>412</v>
      </c>
      <c r="AU63" s="61" t="s">
        <v>412</v>
      </c>
      <c r="AV63" s="61" t="s">
        <v>412</v>
      </c>
      <c r="AW63" s="61">
        <v>0</v>
      </c>
      <c r="AX63" s="61">
        <v>6</v>
      </c>
      <c r="AY63" s="61">
        <v>14</v>
      </c>
      <c r="AZ63" s="61">
        <v>5</v>
      </c>
      <c r="BA63" s="61">
        <v>12</v>
      </c>
      <c r="BB63" s="62">
        <v>19</v>
      </c>
      <c r="BC63" s="54" t="s">
        <v>412</v>
      </c>
      <c r="BD63" s="54" t="s">
        <v>412</v>
      </c>
      <c r="BE63" s="54" t="s">
        <v>412</v>
      </c>
      <c r="BF63" s="54" t="s">
        <v>120</v>
      </c>
      <c r="BG63" s="54" t="s">
        <v>391</v>
      </c>
      <c r="BH63" s="54" t="s">
        <v>391</v>
      </c>
      <c r="BI63" s="54" t="s">
        <v>391</v>
      </c>
      <c r="BJ63" s="54" t="s">
        <v>391</v>
      </c>
      <c r="BK63" s="54" t="s">
        <v>391</v>
      </c>
      <c r="BL63" s="53" t="s">
        <v>412</v>
      </c>
      <c r="BM63" s="54" t="s">
        <v>412</v>
      </c>
      <c r="BN63" s="54" t="s">
        <v>412</v>
      </c>
      <c r="BO63" s="54" t="s">
        <v>392</v>
      </c>
      <c r="BP63" s="54" t="s">
        <v>392</v>
      </c>
      <c r="BQ63" s="54" t="s">
        <v>393</v>
      </c>
      <c r="BR63" s="54" t="s">
        <v>392</v>
      </c>
      <c r="BS63" s="54" t="s">
        <v>392</v>
      </c>
      <c r="BT63" s="63" t="s">
        <v>392</v>
      </c>
      <c r="BU63" s="53" t="s">
        <v>412</v>
      </c>
      <c r="BV63" s="54" t="s">
        <v>412</v>
      </c>
      <c r="BW63" s="54" t="s">
        <v>412</v>
      </c>
      <c r="BX63" s="54" t="s">
        <v>392</v>
      </c>
      <c r="BY63" s="54" t="s">
        <v>392</v>
      </c>
      <c r="BZ63" s="54" t="s">
        <v>392</v>
      </c>
      <c r="CA63" s="54" t="s">
        <v>392</v>
      </c>
      <c r="CB63" s="54" t="s">
        <v>392</v>
      </c>
      <c r="CC63" s="54" t="s">
        <v>392</v>
      </c>
      <c r="CD63" s="57" t="s">
        <v>412</v>
      </c>
      <c r="CE63" s="51" t="s">
        <v>412</v>
      </c>
      <c r="CF63" s="51" t="s">
        <v>412</v>
      </c>
      <c r="CG63" s="51" t="s">
        <v>412</v>
      </c>
      <c r="CH63" s="51" t="s">
        <v>394</v>
      </c>
      <c r="CI63" s="51" t="s">
        <v>392</v>
      </c>
      <c r="CJ63" s="51" t="s">
        <v>392</v>
      </c>
      <c r="CK63" s="51" t="s">
        <v>392</v>
      </c>
      <c r="CL63" s="51" t="s">
        <v>392</v>
      </c>
      <c r="CM63" s="51" t="s">
        <v>392</v>
      </c>
      <c r="CN63" s="57"/>
      <c r="CO63" s="51"/>
      <c r="CP63" s="51" t="s">
        <v>412</v>
      </c>
      <c r="CQ63" s="51" t="s">
        <v>396</v>
      </c>
      <c r="CR63" s="51" t="s">
        <v>396</v>
      </c>
      <c r="CS63" s="51" t="s">
        <v>396</v>
      </c>
      <c r="CT63" s="51" t="s">
        <v>400</v>
      </c>
      <c r="CU63" s="51" t="s">
        <v>396</v>
      </c>
      <c r="CV63" s="51" t="s">
        <v>396</v>
      </c>
      <c r="CW63" s="57" t="s">
        <v>398</v>
      </c>
      <c r="CX63" s="51" t="s">
        <v>398</v>
      </c>
      <c r="CY63" s="51" t="s">
        <v>398</v>
      </c>
      <c r="CZ63" s="64" t="str">
        <f>IF(_xlfn.XLOOKUP(B63,[2]累计数据!$C$193:$C$245,[2]累计数据!$C$193:$C$245,"N")=B63,"Y","N")</f>
        <v>N</v>
      </c>
      <c r="DA63" s="58">
        <v>0.02</v>
      </c>
      <c r="DB63" s="59">
        <v>0.02</v>
      </c>
      <c r="DC63" s="59">
        <v>0.02</v>
      </c>
      <c r="DD63" s="65"/>
      <c r="DE63"/>
      <c r="DF63"/>
      <c r="DG63"/>
      <c r="DH63"/>
      <c r="DI63"/>
      <c r="DJ63" s="3"/>
    </row>
    <row r="64" customFormat="1" ht="22.5" customHeight="1" spans="1:114">
      <c r="A64" s="46">
        <v>12483</v>
      </c>
      <c r="B64" s="47" t="s">
        <v>252</v>
      </c>
      <c r="C64" s="48">
        <v>46108</v>
      </c>
      <c r="D64" s="49">
        <f>IF(_xlfn.XLOOKUP(A64,[1]分配表!J:J,[1]分配表!M:M)=0,"未出单",_xlfn.XLOOKUP(A64,[1]分配表!J:J,[1]分配表!M:M))</f>
        <v>46111</v>
      </c>
      <c r="E64" s="50" t="str">
        <f>_xlfn.XLOOKUP(A64,[1]分配表!A:A,[1]分配表!C:C)</f>
        <v>胡煜星</v>
      </c>
      <c r="F64" s="50" t="s">
        <v>52</v>
      </c>
      <c r="G64" s="50" t="s">
        <v>34</v>
      </c>
      <c r="H64" s="51">
        <v>0</v>
      </c>
      <c r="I64" s="51">
        <v>0</v>
      </c>
      <c r="J64" s="51">
        <v>0</v>
      </c>
      <c r="K64" s="51">
        <v>3</v>
      </c>
      <c r="L64" s="51">
        <v>0</v>
      </c>
      <c r="M64" s="51">
        <v>3</v>
      </c>
      <c r="N64" s="51">
        <v>1</v>
      </c>
      <c r="O64" s="51">
        <v>3</v>
      </c>
      <c r="P64" s="51">
        <v>2</v>
      </c>
      <c r="Q64" s="52">
        <f t="shared" si="0"/>
        <v>-1</v>
      </c>
      <c r="R64" s="53">
        <v>0</v>
      </c>
      <c r="S64" s="54">
        <v>0</v>
      </c>
      <c r="T64" s="54">
        <v>0</v>
      </c>
      <c r="U64" s="54">
        <v>351</v>
      </c>
      <c r="V64" s="54">
        <v>0</v>
      </c>
      <c r="W64" s="54">
        <v>351</v>
      </c>
      <c r="X64" s="54">
        <v>117</v>
      </c>
      <c r="Y64" s="55">
        <v>362.7</v>
      </c>
      <c r="Z64" s="56">
        <v>257.4</v>
      </c>
      <c r="AA64" s="54">
        <f t="shared" si="1"/>
        <v>-105.3</v>
      </c>
      <c r="AB64" s="57">
        <v>0</v>
      </c>
      <c r="AC64" s="51">
        <v>0</v>
      </c>
      <c r="AD64" s="51">
        <v>0</v>
      </c>
      <c r="AE64" s="51">
        <v>0</v>
      </c>
      <c r="AF64" s="51">
        <v>0</v>
      </c>
      <c r="AG64" s="51">
        <v>0</v>
      </c>
      <c r="AH64" s="51">
        <v>0</v>
      </c>
      <c r="AI64" s="51">
        <v>0</v>
      </c>
      <c r="AJ64" s="51">
        <v>0</v>
      </c>
      <c r="AK64" s="58" t="s">
        <v>390</v>
      </c>
      <c r="AL64" s="59" t="s">
        <v>390</v>
      </c>
      <c r="AM64" s="59" t="s">
        <v>390</v>
      </c>
      <c r="AN64" s="59">
        <v>1</v>
      </c>
      <c r="AO64" s="59">
        <v>0</v>
      </c>
      <c r="AP64" s="59">
        <v>1</v>
      </c>
      <c r="AQ64" s="59">
        <v>1</v>
      </c>
      <c r="AR64" s="59">
        <v>1</v>
      </c>
      <c r="AS64" s="59">
        <v>1</v>
      </c>
      <c r="AT64" s="60" t="s">
        <v>412</v>
      </c>
      <c r="AU64" s="61" t="s">
        <v>412</v>
      </c>
      <c r="AV64" s="61" t="s">
        <v>412</v>
      </c>
      <c r="AW64" s="61">
        <v>0</v>
      </c>
      <c r="AX64" s="61">
        <v>6</v>
      </c>
      <c r="AY64" s="61">
        <v>14</v>
      </c>
      <c r="AZ64" s="61">
        <v>5</v>
      </c>
      <c r="BA64" s="61">
        <v>12</v>
      </c>
      <c r="BB64" s="62">
        <v>19</v>
      </c>
      <c r="BC64" s="54" t="s">
        <v>412</v>
      </c>
      <c r="BD64" s="54" t="s">
        <v>412</v>
      </c>
      <c r="BE64" s="54" t="s">
        <v>412</v>
      </c>
      <c r="BF64" s="54" t="s">
        <v>391</v>
      </c>
      <c r="BG64" s="54" t="s">
        <v>391</v>
      </c>
      <c r="BH64" s="54" t="s">
        <v>391</v>
      </c>
      <c r="BI64" s="54" t="s">
        <v>391</v>
      </c>
      <c r="BJ64" s="54" t="s">
        <v>391</v>
      </c>
      <c r="BK64" s="54" t="s">
        <v>391</v>
      </c>
      <c r="BL64" s="53" t="s">
        <v>412</v>
      </c>
      <c r="BM64" s="54" t="s">
        <v>412</v>
      </c>
      <c r="BN64" s="54" t="s">
        <v>412</v>
      </c>
      <c r="BO64" s="54" t="s">
        <v>392</v>
      </c>
      <c r="BP64" s="54" t="s">
        <v>392</v>
      </c>
      <c r="BQ64" s="54" t="s">
        <v>393</v>
      </c>
      <c r="BR64" s="54" t="s">
        <v>392</v>
      </c>
      <c r="BS64" s="54" t="s">
        <v>392</v>
      </c>
      <c r="BT64" s="63" t="s">
        <v>392</v>
      </c>
      <c r="BU64" s="53" t="s">
        <v>412</v>
      </c>
      <c r="BV64" s="54" t="s">
        <v>412</v>
      </c>
      <c r="BW64" s="54" t="s">
        <v>412</v>
      </c>
      <c r="BX64" s="54" t="s">
        <v>392</v>
      </c>
      <c r="BY64" s="54" t="s">
        <v>392</v>
      </c>
      <c r="BZ64" s="54" t="s">
        <v>392</v>
      </c>
      <c r="CA64" s="54" t="s">
        <v>392</v>
      </c>
      <c r="CB64" s="54" t="s">
        <v>392</v>
      </c>
      <c r="CC64" s="54" t="s">
        <v>392</v>
      </c>
      <c r="CD64" s="57" t="s">
        <v>412</v>
      </c>
      <c r="CE64" s="51" t="s">
        <v>412</v>
      </c>
      <c r="CF64" s="51" t="s">
        <v>412</v>
      </c>
      <c r="CG64" s="51" t="s">
        <v>412</v>
      </c>
      <c r="CH64" s="51" t="s">
        <v>392</v>
      </c>
      <c r="CI64" s="51" t="s">
        <v>392</v>
      </c>
      <c r="CJ64" s="51" t="s">
        <v>392</v>
      </c>
      <c r="CK64" s="51" t="s">
        <v>392</v>
      </c>
      <c r="CL64" s="51" t="s">
        <v>392</v>
      </c>
      <c r="CM64" s="51" t="s">
        <v>392</v>
      </c>
      <c r="CN64" s="57"/>
      <c r="CO64" s="51"/>
      <c r="CP64" s="51" t="s">
        <v>412</v>
      </c>
      <c r="CQ64" s="51" t="s">
        <v>396</v>
      </c>
      <c r="CR64" s="51" t="s">
        <v>396</v>
      </c>
      <c r="CS64" s="51" t="s">
        <v>396</v>
      </c>
      <c r="CT64" s="51" t="s">
        <v>400</v>
      </c>
      <c r="CU64" s="51" t="s">
        <v>396</v>
      </c>
      <c r="CV64" s="51" t="s">
        <v>396</v>
      </c>
      <c r="CW64" s="57" t="s">
        <v>398</v>
      </c>
      <c r="CX64" s="51" t="s">
        <v>398</v>
      </c>
      <c r="CY64" s="51" t="s">
        <v>391</v>
      </c>
      <c r="CZ64" s="64" t="str">
        <f>IF(_xlfn.XLOOKUP(B64,[2]累计数据!$C$193:$C$245,[2]累计数据!$C$193:$C$245,"N")=B64,"Y","N")</f>
        <v>Y</v>
      </c>
      <c r="DA64" s="58">
        <v>0.02</v>
      </c>
      <c r="DB64" s="59">
        <v>0.02</v>
      </c>
      <c r="DC64" s="59">
        <v>0</v>
      </c>
      <c r="DD64" s="65"/>
      <c r="DE64"/>
      <c r="DF64"/>
      <c r="DG64"/>
      <c r="DH64"/>
      <c r="DI64"/>
      <c r="DJ64" s="3"/>
    </row>
    <row r="65" customFormat="1" ht="22.5" customHeight="1" spans="1:114">
      <c r="A65" s="46">
        <v>12484</v>
      </c>
      <c r="B65" s="47" t="s">
        <v>237</v>
      </c>
      <c r="C65" s="48">
        <v>46108</v>
      </c>
      <c r="D65" s="49">
        <f>IF(_xlfn.XLOOKUP(A65,[1]分配表!J:J,[1]分配表!M:M)=0,"未出单",_xlfn.XLOOKUP(A65,[1]分配表!J:J,[1]分配表!M:M))</f>
        <v>46111</v>
      </c>
      <c r="E65" s="50" t="str">
        <f>_xlfn.XLOOKUP(A65,[1]分配表!A:A,[1]分配表!C:C)</f>
        <v>胡煜星</v>
      </c>
      <c r="F65" s="50" t="s">
        <v>52</v>
      </c>
      <c r="G65" s="50" t="s">
        <v>34</v>
      </c>
      <c r="H65" s="51">
        <v>0</v>
      </c>
      <c r="I65" s="51">
        <v>0</v>
      </c>
      <c r="J65" s="51">
        <v>0</v>
      </c>
      <c r="K65" s="51">
        <v>1</v>
      </c>
      <c r="L65" s="51">
        <v>1</v>
      </c>
      <c r="M65" s="51">
        <v>1</v>
      </c>
      <c r="N65" s="51">
        <v>7</v>
      </c>
      <c r="O65" s="51">
        <v>2</v>
      </c>
      <c r="P65" s="51">
        <v>2</v>
      </c>
      <c r="Q65" s="52">
        <f t="shared" si="0"/>
        <v>0</v>
      </c>
      <c r="R65" s="53">
        <v>0</v>
      </c>
      <c r="S65" s="54">
        <v>0</v>
      </c>
      <c r="T65" s="54">
        <v>0</v>
      </c>
      <c r="U65" s="54">
        <v>110</v>
      </c>
      <c r="V65" s="54">
        <v>110</v>
      </c>
      <c r="W65" s="54">
        <v>110</v>
      </c>
      <c r="X65" s="54">
        <v>768.5</v>
      </c>
      <c r="Y65" s="55">
        <v>222</v>
      </c>
      <c r="Z65" s="56">
        <v>232</v>
      </c>
      <c r="AA65" s="54">
        <f t="shared" si="1"/>
        <v>10</v>
      </c>
      <c r="AB65" s="57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8" t="s">
        <v>390</v>
      </c>
      <c r="AL65" s="59" t="s">
        <v>390</v>
      </c>
      <c r="AM65" s="59" t="s">
        <v>390</v>
      </c>
      <c r="AN65" s="59">
        <v>1</v>
      </c>
      <c r="AO65" s="59">
        <v>1</v>
      </c>
      <c r="AP65" s="59">
        <v>1</v>
      </c>
      <c r="AQ65" s="59">
        <v>1</v>
      </c>
      <c r="AR65" s="59">
        <v>1</v>
      </c>
      <c r="AS65" s="59">
        <v>1</v>
      </c>
      <c r="AT65" s="60" t="s">
        <v>412</v>
      </c>
      <c r="AU65" s="61" t="s">
        <v>412</v>
      </c>
      <c r="AV65" s="61" t="s">
        <v>412</v>
      </c>
      <c r="AW65" s="61">
        <v>0</v>
      </c>
      <c r="AX65" s="61">
        <v>6</v>
      </c>
      <c r="AY65" s="61">
        <v>14</v>
      </c>
      <c r="AZ65" s="61">
        <v>5</v>
      </c>
      <c r="BA65" s="61">
        <v>4</v>
      </c>
      <c r="BB65" s="62">
        <v>11</v>
      </c>
      <c r="BC65" s="54" t="s">
        <v>412</v>
      </c>
      <c r="BD65" s="54" t="s">
        <v>412</v>
      </c>
      <c r="BE65" s="54" t="s">
        <v>412</v>
      </c>
      <c r="BF65" s="54" t="s">
        <v>391</v>
      </c>
      <c r="BG65" s="54" t="s">
        <v>391</v>
      </c>
      <c r="BH65" s="54" t="s">
        <v>391</v>
      </c>
      <c r="BI65" s="54" t="s">
        <v>391</v>
      </c>
      <c r="BJ65" s="54" t="s">
        <v>391</v>
      </c>
      <c r="BK65" s="54" t="s">
        <v>391</v>
      </c>
      <c r="BL65" s="53" t="s">
        <v>412</v>
      </c>
      <c r="BM65" s="54" t="s">
        <v>412</v>
      </c>
      <c r="BN65" s="54" t="s">
        <v>412</v>
      </c>
      <c r="BO65" s="54" t="s">
        <v>392</v>
      </c>
      <c r="BP65" s="54" t="s">
        <v>392</v>
      </c>
      <c r="BQ65" s="54" t="s">
        <v>393</v>
      </c>
      <c r="BR65" s="54" t="s">
        <v>392</v>
      </c>
      <c r="BS65" s="54" t="s">
        <v>392</v>
      </c>
      <c r="BT65" s="63" t="s">
        <v>392</v>
      </c>
      <c r="BU65" s="53" t="s">
        <v>412</v>
      </c>
      <c r="BV65" s="54" t="s">
        <v>412</v>
      </c>
      <c r="BW65" s="54" t="s">
        <v>412</v>
      </c>
      <c r="BX65" s="54" t="s">
        <v>392</v>
      </c>
      <c r="BY65" s="54" t="s">
        <v>392</v>
      </c>
      <c r="BZ65" s="54" t="s">
        <v>392</v>
      </c>
      <c r="CA65" s="54" t="s">
        <v>392</v>
      </c>
      <c r="CB65" s="54" t="s">
        <v>392</v>
      </c>
      <c r="CC65" s="54" t="s">
        <v>392</v>
      </c>
      <c r="CD65" s="57" t="s">
        <v>412</v>
      </c>
      <c r="CE65" s="51" t="s">
        <v>412</v>
      </c>
      <c r="CF65" s="51" t="s">
        <v>412</v>
      </c>
      <c r="CG65" s="51" t="s">
        <v>412</v>
      </c>
      <c r="CH65" s="51" t="s">
        <v>392</v>
      </c>
      <c r="CI65" s="51" t="s">
        <v>392</v>
      </c>
      <c r="CJ65" s="51" t="s">
        <v>392</v>
      </c>
      <c r="CK65" s="51" t="s">
        <v>392</v>
      </c>
      <c r="CL65" s="51" t="s">
        <v>392</v>
      </c>
      <c r="CM65" s="51" t="s">
        <v>392</v>
      </c>
      <c r="CN65" s="57"/>
      <c r="CO65" s="51"/>
      <c r="CP65" s="51" t="s">
        <v>412</v>
      </c>
      <c r="CQ65" s="51" t="s">
        <v>396</v>
      </c>
      <c r="CR65" s="51" t="s">
        <v>396</v>
      </c>
      <c r="CS65" s="51" t="s">
        <v>396</v>
      </c>
      <c r="CT65" s="51" t="s">
        <v>403</v>
      </c>
      <c r="CU65" s="51" t="s">
        <v>396</v>
      </c>
      <c r="CV65" s="51" t="s">
        <v>396</v>
      </c>
      <c r="CW65" s="57" t="s">
        <v>398</v>
      </c>
      <c r="CX65" s="51" t="s">
        <v>398</v>
      </c>
      <c r="CY65" s="51" t="s">
        <v>391</v>
      </c>
      <c r="CZ65" s="64" t="str">
        <f>IF(_xlfn.XLOOKUP(B65,[2]累计数据!$C$193:$C$245,[2]累计数据!$C$193:$C$245,"N")=B65,"Y","N")</f>
        <v>Y</v>
      </c>
      <c r="DA65" s="58">
        <v>0.02</v>
      </c>
      <c r="DB65" s="59">
        <v>0.02</v>
      </c>
      <c r="DC65" s="59">
        <v>0</v>
      </c>
      <c r="DD65" s="65"/>
      <c r="DE65"/>
      <c r="DF65"/>
      <c r="DG65"/>
      <c r="DH65"/>
      <c r="DI65"/>
      <c r="DJ65" s="3"/>
    </row>
    <row r="66" customFormat="1" ht="22.5" customHeight="1" spans="1:114">
      <c r="A66" s="46">
        <v>12414</v>
      </c>
      <c r="B66" s="47" t="s">
        <v>188</v>
      </c>
      <c r="C66" s="48">
        <v>46108</v>
      </c>
      <c r="D66" s="49" t="str">
        <f>IF(_xlfn.XLOOKUP(A66,[1]分配表!J:J,[1]分配表!M:M)=0,"未出单",_xlfn.XLOOKUP(A66,[1]分配表!J:J,[1]分配表!M:M))</f>
        <v>未出单</v>
      </c>
      <c r="E66" s="50" t="str">
        <f>_xlfn.XLOOKUP(A66,[1]分配表!A:A,[1]分配表!C:C)</f>
        <v>俞东旭</v>
      </c>
      <c r="F66" s="50" t="s">
        <v>44</v>
      </c>
      <c r="G66" s="50" t="s">
        <v>45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2">
        <f t="shared" ref="Q66:Q110" si="2">IFERROR(P66-O66,P66)</f>
        <v>0</v>
      </c>
      <c r="R66" s="53">
        <v>0</v>
      </c>
      <c r="S66" s="54">
        <v>0</v>
      </c>
      <c r="T66" s="54">
        <v>0</v>
      </c>
      <c r="U66" s="54">
        <v>0</v>
      </c>
      <c r="V66" s="54">
        <v>0</v>
      </c>
      <c r="W66" s="54">
        <v>0</v>
      </c>
      <c r="X66" s="54">
        <v>0</v>
      </c>
      <c r="Y66" s="55">
        <v>0</v>
      </c>
      <c r="Z66" s="56">
        <v>0</v>
      </c>
      <c r="AA66" s="54">
        <f t="shared" ref="AA66:AA110" si="3">IFERROR(Z66-Y66,Z66)</f>
        <v>0</v>
      </c>
      <c r="AB66" s="57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8" t="s">
        <v>390</v>
      </c>
      <c r="AL66" s="59" t="s">
        <v>390</v>
      </c>
      <c r="AM66" s="59" t="s">
        <v>390</v>
      </c>
      <c r="AN66" s="59">
        <v>0</v>
      </c>
      <c r="AO66" s="59">
        <v>0</v>
      </c>
      <c r="AP66" s="59">
        <v>0</v>
      </c>
      <c r="AQ66" s="59" t="s">
        <v>390</v>
      </c>
      <c r="AR66" s="59" t="s">
        <v>390</v>
      </c>
      <c r="AS66" s="59" t="s">
        <v>390</v>
      </c>
      <c r="AT66" s="60" t="s">
        <v>412</v>
      </c>
      <c r="AU66" s="61" t="s">
        <v>412</v>
      </c>
      <c r="AV66" s="61" t="s">
        <v>412</v>
      </c>
      <c r="AW66" s="61">
        <v>5</v>
      </c>
      <c r="AX66" s="61">
        <v>0</v>
      </c>
      <c r="AY66" s="61">
        <v>1</v>
      </c>
      <c r="AZ66" s="61">
        <v>1</v>
      </c>
      <c r="BA66" s="61">
        <v>1</v>
      </c>
      <c r="BB66" s="62">
        <v>0</v>
      </c>
      <c r="BC66" s="54" t="s">
        <v>412</v>
      </c>
      <c r="BD66" s="54" t="s">
        <v>412</v>
      </c>
      <c r="BE66" s="54" t="s">
        <v>412</v>
      </c>
      <c r="BF66" s="54" t="s">
        <v>120</v>
      </c>
      <c r="BG66" s="54" t="s">
        <v>120</v>
      </c>
      <c r="BH66" s="54" t="s">
        <v>120</v>
      </c>
      <c r="BI66" s="54" t="s">
        <v>120</v>
      </c>
      <c r="BJ66" s="54" t="s">
        <v>120</v>
      </c>
      <c r="BK66" s="54" t="s">
        <v>120</v>
      </c>
      <c r="BL66" s="53" t="s">
        <v>412</v>
      </c>
      <c r="BM66" s="54" t="s">
        <v>412</v>
      </c>
      <c r="BN66" s="54" t="s">
        <v>412</v>
      </c>
      <c r="BO66" s="54" t="s">
        <v>392</v>
      </c>
      <c r="BP66" s="54" t="s">
        <v>392</v>
      </c>
      <c r="BQ66" s="54" t="s">
        <v>392</v>
      </c>
      <c r="BR66" s="54" t="s">
        <v>392</v>
      </c>
      <c r="BS66" s="54" t="s">
        <v>392</v>
      </c>
      <c r="BT66" s="63" t="s">
        <v>392</v>
      </c>
      <c r="BU66" s="53" t="s">
        <v>412</v>
      </c>
      <c r="BV66" s="54" t="s">
        <v>412</v>
      </c>
      <c r="BW66" s="54" t="s">
        <v>412</v>
      </c>
      <c r="BX66" s="54" t="s">
        <v>393</v>
      </c>
      <c r="BY66" s="54" t="s">
        <v>392</v>
      </c>
      <c r="BZ66" s="54" t="s">
        <v>392</v>
      </c>
      <c r="CA66" s="54" t="s">
        <v>392</v>
      </c>
      <c r="CB66" s="54" t="s">
        <v>392</v>
      </c>
      <c r="CC66" s="54" t="s">
        <v>392</v>
      </c>
      <c r="CD66" s="57" t="s">
        <v>412</v>
      </c>
      <c r="CE66" s="51" t="s">
        <v>412</v>
      </c>
      <c r="CF66" s="51" t="s">
        <v>412</v>
      </c>
      <c r="CG66" s="51" t="s">
        <v>412</v>
      </c>
      <c r="CH66" s="51" t="s">
        <v>394</v>
      </c>
      <c r="CI66" s="51" t="s">
        <v>394</v>
      </c>
      <c r="CJ66" s="51" t="s">
        <v>394</v>
      </c>
      <c r="CK66" s="51" t="s">
        <v>394</v>
      </c>
      <c r="CL66" s="51" t="s">
        <v>394</v>
      </c>
      <c r="CM66" s="51" t="s">
        <v>394</v>
      </c>
      <c r="CN66" s="57"/>
      <c r="CO66" s="51"/>
      <c r="CP66" s="51" t="s">
        <v>412</v>
      </c>
      <c r="CQ66" s="51" t="s">
        <v>400</v>
      </c>
      <c r="CR66" s="51" t="s">
        <v>396</v>
      </c>
      <c r="CS66" s="51" t="s">
        <v>403</v>
      </c>
      <c r="CT66" s="51" t="s">
        <v>400</v>
      </c>
      <c r="CU66" s="51" t="s">
        <v>395</v>
      </c>
      <c r="CV66" s="51" t="s">
        <v>395</v>
      </c>
      <c r="CW66" s="57" t="s">
        <v>398</v>
      </c>
      <c r="CX66" s="51" t="s">
        <v>391</v>
      </c>
      <c r="CY66" s="51" t="s">
        <v>391</v>
      </c>
      <c r="CZ66" s="64" t="str">
        <f>IF(_xlfn.XLOOKUP(B66,[2]累计数据!$C$193:$C$245,[2]累计数据!$C$193:$C$245,"N")=B66,"Y","N")</f>
        <v>Y</v>
      </c>
      <c r="DA66" s="58">
        <v>0.025</v>
      </c>
      <c r="DB66" s="59">
        <v>0</v>
      </c>
      <c r="DC66" s="59">
        <v>0</v>
      </c>
      <c r="DD66" s="65"/>
      <c r="DE66"/>
      <c r="DF66"/>
      <c r="DG66"/>
      <c r="DH66"/>
      <c r="DI66"/>
      <c r="DJ66" s="3"/>
    </row>
    <row r="67" customFormat="1" ht="22.5" customHeight="1" spans="1:114">
      <c r="A67" s="46">
        <v>12422</v>
      </c>
      <c r="B67" s="47" t="s">
        <v>190</v>
      </c>
      <c r="C67" s="48">
        <v>46108</v>
      </c>
      <c r="D67" s="49">
        <f>IF(_xlfn.XLOOKUP(A67,[1]分配表!J:J,[1]分配表!M:M)=0,"未出单",_xlfn.XLOOKUP(A67,[1]分配表!J:J,[1]分配表!M:M))</f>
        <v>46141</v>
      </c>
      <c r="E67" s="50" t="str">
        <f>_xlfn.XLOOKUP(A67,[1]分配表!A:A,[1]分配表!C:C)</f>
        <v>俞东旭</v>
      </c>
      <c r="F67" s="50" t="s">
        <v>44</v>
      </c>
      <c r="G67" s="50" t="s">
        <v>45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1</v>
      </c>
      <c r="P67" s="51">
        <v>0</v>
      </c>
      <c r="Q67" s="52">
        <f t="shared" si="2"/>
        <v>-1</v>
      </c>
      <c r="R67" s="53">
        <v>0</v>
      </c>
      <c r="S67" s="54">
        <v>0</v>
      </c>
      <c r="T67" s="54">
        <v>0</v>
      </c>
      <c r="U67" s="54">
        <v>0</v>
      </c>
      <c r="V67" s="54">
        <v>0</v>
      </c>
      <c r="W67" s="54">
        <v>0</v>
      </c>
      <c r="X67" s="54">
        <v>0</v>
      </c>
      <c r="Y67" s="55">
        <v>250</v>
      </c>
      <c r="Z67" s="56">
        <v>0</v>
      </c>
      <c r="AA67" s="54">
        <f t="shared" si="3"/>
        <v>-250</v>
      </c>
      <c r="AB67" s="57">
        <v>0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8" t="s">
        <v>390</v>
      </c>
      <c r="AL67" s="59" t="s">
        <v>390</v>
      </c>
      <c r="AM67" s="59" t="s">
        <v>390</v>
      </c>
      <c r="AN67" s="59">
        <v>0</v>
      </c>
      <c r="AO67" s="59">
        <v>0</v>
      </c>
      <c r="AP67" s="59">
        <v>0</v>
      </c>
      <c r="AQ67" s="59" t="s">
        <v>390</v>
      </c>
      <c r="AR67" s="59" t="s">
        <v>390</v>
      </c>
      <c r="AS67" s="59">
        <v>1</v>
      </c>
      <c r="AT67" s="60" t="s">
        <v>412</v>
      </c>
      <c r="AU67" s="61" t="s">
        <v>412</v>
      </c>
      <c r="AV67" s="61" t="s">
        <v>412</v>
      </c>
      <c r="AW67" s="61">
        <v>5</v>
      </c>
      <c r="AX67" s="61">
        <v>0</v>
      </c>
      <c r="AY67" s="61">
        <v>1</v>
      </c>
      <c r="AZ67" s="61">
        <v>1</v>
      </c>
      <c r="BA67" s="61">
        <v>1</v>
      </c>
      <c r="BB67" s="62">
        <v>8</v>
      </c>
      <c r="BC67" s="54" t="s">
        <v>412</v>
      </c>
      <c r="BD67" s="54" t="s">
        <v>412</v>
      </c>
      <c r="BE67" s="54" t="s">
        <v>412</v>
      </c>
      <c r="BF67" s="54" t="s">
        <v>120</v>
      </c>
      <c r="BG67" s="54" t="s">
        <v>120</v>
      </c>
      <c r="BH67" s="54" t="s">
        <v>120</v>
      </c>
      <c r="BI67" s="54" t="s">
        <v>120</v>
      </c>
      <c r="BJ67" s="54" t="s">
        <v>398</v>
      </c>
      <c r="BK67" s="54" t="s">
        <v>398</v>
      </c>
      <c r="BL67" s="53" t="s">
        <v>412</v>
      </c>
      <c r="BM67" s="54" t="s">
        <v>412</v>
      </c>
      <c r="BN67" s="54" t="s">
        <v>412</v>
      </c>
      <c r="BO67" s="54" t="s">
        <v>392</v>
      </c>
      <c r="BP67" s="54" t="s">
        <v>392</v>
      </c>
      <c r="BQ67" s="54" t="s">
        <v>392</v>
      </c>
      <c r="BR67" s="54" t="s">
        <v>392</v>
      </c>
      <c r="BS67" s="54" t="s">
        <v>392</v>
      </c>
      <c r="BT67" s="63" t="s">
        <v>392</v>
      </c>
      <c r="BU67" s="53" t="s">
        <v>412</v>
      </c>
      <c r="BV67" s="54" t="s">
        <v>412</v>
      </c>
      <c r="BW67" s="54" t="s">
        <v>412</v>
      </c>
      <c r="BX67" s="54" t="s">
        <v>393</v>
      </c>
      <c r="BY67" s="54" t="s">
        <v>392</v>
      </c>
      <c r="BZ67" s="54" t="s">
        <v>392</v>
      </c>
      <c r="CA67" s="54" t="s">
        <v>392</v>
      </c>
      <c r="CB67" s="54" t="s">
        <v>392</v>
      </c>
      <c r="CC67" s="54" t="s">
        <v>392</v>
      </c>
      <c r="CD67" s="57" t="s">
        <v>412</v>
      </c>
      <c r="CE67" s="51" t="s">
        <v>412</v>
      </c>
      <c r="CF67" s="51" t="s">
        <v>412</v>
      </c>
      <c r="CG67" s="51" t="s">
        <v>412</v>
      </c>
      <c r="CH67" s="51" t="s">
        <v>394</v>
      </c>
      <c r="CI67" s="51" t="s">
        <v>406</v>
      </c>
      <c r="CJ67" s="51" t="s">
        <v>394</v>
      </c>
      <c r="CK67" s="51" t="s">
        <v>394</v>
      </c>
      <c r="CL67" s="51" t="s">
        <v>394</v>
      </c>
      <c r="CM67" s="51" t="s">
        <v>392</v>
      </c>
      <c r="CN67" s="57"/>
      <c r="CO67" s="51"/>
      <c r="CP67" s="51" t="s">
        <v>412</v>
      </c>
      <c r="CQ67" s="51" t="s">
        <v>400</v>
      </c>
      <c r="CR67" s="51" t="s">
        <v>396</v>
      </c>
      <c r="CS67" s="51" t="s">
        <v>403</v>
      </c>
      <c r="CT67" s="51" t="s">
        <v>400</v>
      </c>
      <c r="CU67" s="51" t="s">
        <v>395</v>
      </c>
      <c r="CV67" s="51" t="s">
        <v>396</v>
      </c>
      <c r="CW67" s="57" t="s">
        <v>398</v>
      </c>
      <c r="CX67" s="51" t="s">
        <v>391</v>
      </c>
      <c r="CY67" s="51" t="s">
        <v>391</v>
      </c>
      <c r="CZ67" s="64" t="str">
        <f>IF(_xlfn.XLOOKUP(B67,[2]累计数据!$C$193:$C$245,[2]累计数据!$C$193:$C$245,"N")=B67,"Y","N")</f>
        <v>Y</v>
      </c>
      <c r="DA67" s="58">
        <v>0.025</v>
      </c>
      <c r="DB67" s="59">
        <v>0</v>
      </c>
      <c r="DC67" s="59">
        <v>0</v>
      </c>
      <c r="DD67" s="65"/>
      <c r="DE67"/>
      <c r="DF67"/>
      <c r="DG67"/>
      <c r="DH67"/>
      <c r="DI67"/>
      <c r="DJ67" s="3"/>
    </row>
    <row r="68" customFormat="1" ht="22.5" customHeight="1" spans="1:114">
      <c r="A68" s="46">
        <v>12213</v>
      </c>
      <c r="B68" s="47" t="s">
        <v>29</v>
      </c>
      <c r="C68" s="48">
        <v>46108</v>
      </c>
      <c r="D68" s="49">
        <f>IF(_xlfn.XLOOKUP(A68,[1]分配表!J:J,[1]分配表!M:M)=0,"未出单",_xlfn.XLOOKUP(A68,[1]分配表!J:J,[1]分配表!M:M))</f>
        <v>46114</v>
      </c>
      <c r="E68" s="50" t="str">
        <f>_xlfn.XLOOKUP(A68,[1]分配表!A:A,[1]分配表!C:C)</f>
        <v>张潇</v>
      </c>
      <c r="F68" s="50" t="s">
        <v>33</v>
      </c>
      <c r="G68" s="50" t="s">
        <v>34</v>
      </c>
      <c r="H68" s="51">
        <v>0</v>
      </c>
      <c r="I68" s="51">
        <v>0</v>
      </c>
      <c r="J68" s="51">
        <v>0</v>
      </c>
      <c r="K68" s="51">
        <v>0</v>
      </c>
      <c r="L68" s="51">
        <v>16</v>
      </c>
      <c r="M68" s="51">
        <v>20</v>
      </c>
      <c r="N68" s="51">
        <v>18</v>
      </c>
      <c r="O68" s="51">
        <v>9</v>
      </c>
      <c r="P68" s="51">
        <v>18</v>
      </c>
      <c r="Q68" s="52">
        <f t="shared" si="2"/>
        <v>9</v>
      </c>
      <c r="R68" s="53">
        <v>0</v>
      </c>
      <c r="S68" s="54">
        <v>0</v>
      </c>
      <c r="T68" s="54">
        <v>0</v>
      </c>
      <c r="U68" s="54">
        <v>0</v>
      </c>
      <c r="V68" s="54">
        <v>560</v>
      </c>
      <c r="W68" s="54">
        <v>700</v>
      </c>
      <c r="X68" s="54">
        <v>630</v>
      </c>
      <c r="Y68" s="55">
        <v>315</v>
      </c>
      <c r="Z68" s="56">
        <v>630</v>
      </c>
      <c r="AA68" s="54">
        <f t="shared" si="3"/>
        <v>315</v>
      </c>
      <c r="AB68" s="57">
        <v>0</v>
      </c>
      <c r="AC68" s="51">
        <v>0</v>
      </c>
      <c r="AD68" s="51">
        <v>0</v>
      </c>
      <c r="AE68" s="51">
        <v>11</v>
      </c>
      <c r="AF68" s="51">
        <v>9</v>
      </c>
      <c r="AG68" s="51">
        <v>15</v>
      </c>
      <c r="AH68" s="51">
        <v>8</v>
      </c>
      <c r="AI68" s="51">
        <v>8</v>
      </c>
      <c r="AJ68" s="51">
        <v>4</v>
      </c>
      <c r="AK68" s="58" t="s">
        <v>390</v>
      </c>
      <c r="AL68" s="59" t="s">
        <v>390</v>
      </c>
      <c r="AM68" s="59" t="s">
        <v>390</v>
      </c>
      <c r="AN68" s="59">
        <v>0</v>
      </c>
      <c r="AO68" s="59">
        <v>0.64</v>
      </c>
      <c r="AP68" s="59">
        <v>0.571428571428571</v>
      </c>
      <c r="AQ68" s="59">
        <v>0.7778</v>
      </c>
      <c r="AR68" s="59">
        <v>0.5556</v>
      </c>
      <c r="AS68" s="59">
        <v>0.8261</v>
      </c>
      <c r="AT68" s="60" t="s">
        <v>412</v>
      </c>
      <c r="AU68" s="61" t="s">
        <v>412</v>
      </c>
      <c r="AV68" s="61" t="s">
        <v>412</v>
      </c>
      <c r="AW68" s="61">
        <v>5</v>
      </c>
      <c r="AX68" s="61">
        <v>0</v>
      </c>
      <c r="AY68" s="61">
        <v>5</v>
      </c>
      <c r="AZ68" s="61">
        <v>11</v>
      </c>
      <c r="BA68" s="61">
        <v>2</v>
      </c>
      <c r="BB68" s="62">
        <v>9</v>
      </c>
      <c r="BC68" s="54" t="s">
        <v>412</v>
      </c>
      <c r="BD68" s="54" t="s">
        <v>412</v>
      </c>
      <c r="BE68" s="54" t="s">
        <v>412</v>
      </c>
      <c r="BF68" s="54" t="s">
        <v>120</v>
      </c>
      <c r="BG68" s="54" t="s">
        <v>391</v>
      </c>
      <c r="BH68" s="54" t="s">
        <v>391</v>
      </c>
      <c r="BI68" s="54" t="s">
        <v>391</v>
      </c>
      <c r="BJ68" s="54" t="s">
        <v>391</v>
      </c>
      <c r="BK68" s="54" t="s">
        <v>391</v>
      </c>
      <c r="BL68" s="53" t="s">
        <v>412</v>
      </c>
      <c r="BM68" s="54" t="s">
        <v>412</v>
      </c>
      <c r="BN68" s="54" t="s">
        <v>412</v>
      </c>
      <c r="BO68" s="54" t="s">
        <v>392</v>
      </c>
      <c r="BP68" s="54" t="s">
        <v>392</v>
      </c>
      <c r="BQ68" s="54" t="s">
        <v>392</v>
      </c>
      <c r="BR68" s="54" t="s">
        <v>393</v>
      </c>
      <c r="BS68" s="54" t="s">
        <v>392</v>
      </c>
      <c r="BT68" s="63" t="s">
        <v>392</v>
      </c>
      <c r="BU68" s="53" t="s">
        <v>412</v>
      </c>
      <c r="BV68" s="54" t="s">
        <v>412</v>
      </c>
      <c r="BW68" s="54" t="s">
        <v>412</v>
      </c>
      <c r="BX68" s="54" t="s">
        <v>393</v>
      </c>
      <c r="BY68" s="54" t="s">
        <v>392</v>
      </c>
      <c r="BZ68" s="54" t="s">
        <v>392</v>
      </c>
      <c r="CA68" s="54" t="s">
        <v>392</v>
      </c>
      <c r="CB68" s="54" t="s">
        <v>392</v>
      </c>
      <c r="CC68" s="54" t="s">
        <v>392</v>
      </c>
      <c r="CD68" s="57" t="s">
        <v>412</v>
      </c>
      <c r="CE68" s="51" t="s">
        <v>412</v>
      </c>
      <c r="CF68" s="51" t="s">
        <v>412</v>
      </c>
      <c r="CG68" s="51" t="s">
        <v>412</v>
      </c>
      <c r="CH68" s="51" t="s">
        <v>402</v>
      </c>
      <c r="CI68" s="51" t="s">
        <v>402</v>
      </c>
      <c r="CJ68" s="51" t="s">
        <v>402</v>
      </c>
      <c r="CK68" s="51" t="s">
        <v>392</v>
      </c>
      <c r="CL68" s="51" t="s">
        <v>402</v>
      </c>
      <c r="CM68" s="51" t="s">
        <v>392</v>
      </c>
      <c r="CN68" s="57"/>
      <c r="CO68" s="51"/>
      <c r="CP68" s="51" t="s">
        <v>412</v>
      </c>
      <c r="CQ68" s="51" t="s">
        <v>395</v>
      </c>
      <c r="CR68" s="51" t="s">
        <v>396</v>
      </c>
      <c r="CS68" s="51" t="s">
        <v>396</v>
      </c>
      <c r="CT68" s="51" t="s">
        <v>396</v>
      </c>
      <c r="CU68" s="51" t="s">
        <v>400</v>
      </c>
      <c r="CV68" s="51" t="s">
        <v>396</v>
      </c>
      <c r="CW68" s="57" t="s">
        <v>391</v>
      </c>
      <c r="CX68" s="51" t="s">
        <v>391</v>
      </c>
      <c r="CY68" s="51" t="s">
        <v>391</v>
      </c>
      <c r="CZ68" s="64" t="str">
        <f>IF(_xlfn.XLOOKUP(B68,[2]累计数据!$C$193:$C$245,[2]累计数据!$C$193:$C$245,"N")=B68,"Y","N")</f>
        <v>N</v>
      </c>
      <c r="DA68" s="58">
        <v>0.02</v>
      </c>
      <c r="DB68" s="59">
        <v>0.02</v>
      </c>
      <c r="DC68" s="59">
        <v>0</v>
      </c>
      <c r="DD68" s="65"/>
      <c r="DE68"/>
      <c r="DF68"/>
      <c r="DG68"/>
      <c r="DH68"/>
      <c r="DI68"/>
      <c r="DJ68" s="3"/>
    </row>
    <row r="69" customFormat="1" ht="22.5" customHeight="1" spans="1:114">
      <c r="A69" s="46">
        <v>12461</v>
      </c>
      <c r="B69" s="47" t="s">
        <v>443</v>
      </c>
      <c r="C69" s="48">
        <v>46119</v>
      </c>
      <c r="D69" s="49">
        <f>IF(_xlfn.XLOOKUP(A69,[1]分配表!J:J,[1]分配表!M:M)=0,"未出单",_xlfn.XLOOKUP(A69,[1]分配表!J:J,[1]分配表!M:M))</f>
        <v>46124</v>
      </c>
      <c r="E69" s="50" t="str">
        <f>_xlfn.XLOOKUP(A69,[1]分配表!A:A,[1]分配表!C:C)</f>
        <v>俞东旭</v>
      </c>
      <c r="F69" s="50" t="s">
        <v>92</v>
      </c>
      <c r="G69" s="50" t="s">
        <v>45</v>
      </c>
      <c r="H69" s="51">
        <v>0</v>
      </c>
      <c r="I69" s="51">
        <v>0</v>
      </c>
      <c r="J69" s="51">
        <v>0</v>
      </c>
      <c r="K69" s="51" t="s">
        <v>412</v>
      </c>
      <c r="L69" s="51" t="s">
        <v>412</v>
      </c>
      <c r="M69" s="51">
        <v>4</v>
      </c>
      <c r="N69" s="51">
        <v>2</v>
      </c>
      <c r="O69" s="51">
        <v>3</v>
      </c>
      <c r="P69" s="51">
        <v>3</v>
      </c>
      <c r="Q69" s="52">
        <f t="shared" si="2"/>
        <v>0</v>
      </c>
      <c r="R69" s="53">
        <v>0</v>
      </c>
      <c r="S69" s="54">
        <v>0</v>
      </c>
      <c r="T69" s="54">
        <v>0</v>
      </c>
      <c r="U69" s="54" t="s">
        <v>412</v>
      </c>
      <c r="V69" s="54" t="s">
        <v>412</v>
      </c>
      <c r="W69" s="54">
        <v>476</v>
      </c>
      <c r="X69" s="54">
        <v>238</v>
      </c>
      <c r="Y69" s="55">
        <v>357</v>
      </c>
      <c r="Z69" s="56">
        <v>357</v>
      </c>
      <c r="AA69" s="54">
        <f t="shared" si="3"/>
        <v>0</v>
      </c>
      <c r="AB69" s="57">
        <v>0</v>
      </c>
      <c r="AC69" s="51">
        <v>0</v>
      </c>
      <c r="AD69" s="51">
        <v>0</v>
      </c>
      <c r="AE69" s="51" t="s">
        <v>412</v>
      </c>
      <c r="AF69" s="51">
        <v>0</v>
      </c>
      <c r="AG69" s="51">
        <v>5</v>
      </c>
      <c r="AH69" s="51">
        <v>4</v>
      </c>
      <c r="AI69" s="51">
        <v>1</v>
      </c>
      <c r="AJ69" s="51">
        <v>3</v>
      </c>
      <c r="AK69" s="58" t="s">
        <v>390</v>
      </c>
      <c r="AL69" s="59" t="s">
        <v>390</v>
      </c>
      <c r="AM69" s="59" t="s">
        <v>390</v>
      </c>
      <c r="AN69" s="51" t="s">
        <v>412</v>
      </c>
      <c r="AO69" s="59" t="s">
        <v>390</v>
      </c>
      <c r="AP69" s="59">
        <v>0.444444444444444</v>
      </c>
      <c r="AQ69" s="59">
        <v>0.3333</v>
      </c>
      <c r="AR69" s="59">
        <v>0.6667</v>
      </c>
      <c r="AS69" s="59">
        <v>0.625</v>
      </c>
      <c r="AT69" s="60" t="s">
        <v>412</v>
      </c>
      <c r="AU69" s="61" t="s">
        <v>412</v>
      </c>
      <c r="AV69" s="61" t="s">
        <v>412</v>
      </c>
      <c r="AW69" s="51" t="s">
        <v>412</v>
      </c>
      <c r="AX69" s="61">
        <v>0</v>
      </c>
      <c r="AY69" s="61">
        <v>8</v>
      </c>
      <c r="AZ69" s="61">
        <v>1</v>
      </c>
      <c r="BA69" s="61">
        <v>8</v>
      </c>
      <c r="BB69" s="62">
        <v>0</v>
      </c>
      <c r="BC69" s="54" t="s">
        <v>412</v>
      </c>
      <c r="BD69" s="54" t="s">
        <v>412</v>
      </c>
      <c r="BE69" s="54" t="s">
        <v>412</v>
      </c>
      <c r="BF69" s="51" t="s">
        <v>412</v>
      </c>
      <c r="BG69" s="54" t="s">
        <v>120</v>
      </c>
      <c r="BH69" s="54" t="s">
        <v>120</v>
      </c>
      <c r="BI69" s="54" t="s">
        <v>391</v>
      </c>
      <c r="BJ69" s="54" t="s">
        <v>391</v>
      </c>
      <c r="BK69" s="54" t="s">
        <v>391</v>
      </c>
      <c r="BL69" s="53"/>
      <c r="BM69" s="54"/>
      <c r="BN69" s="54"/>
      <c r="BO69" s="51" t="s">
        <v>412</v>
      </c>
      <c r="BP69" s="54" t="s">
        <v>392</v>
      </c>
      <c r="BQ69" s="54" t="s">
        <v>393</v>
      </c>
      <c r="BR69" s="54" t="s">
        <v>392</v>
      </c>
      <c r="BS69" s="54" t="s">
        <v>393</v>
      </c>
      <c r="BT69" s="63" t="s">
        <v>392</v>
      </c>
      <c r="BU69" s="53"/>
      <c r="BV69" s="54"/>
      <c r="BW69" s="54"/>
      <c r="BX69" s="51" t="s">
        <v>412</v>
      </c>
      <c r="BY69" s="54" t="s">
        <v>392</v>
      </c>
      <c r="BZ69" s="54" t="s">
        <v>392</v>
      </c>
      <c r="CA69" s="54" t="s">
        <v>392</v>
      </c>
      <c r="CB69" s="54" t="s">
        <v>392</v>
      </c>
      <c r="CC69" s="54" t="s">
        <v>392</v>
      </c>
      <c r="CD69" s="57" t="s">
        <v>412</v>
      </c>
      <c r="CE69" s="51" t="s">
        <v>412</v>
      </c>
      <c r="CF69" s="51" t="s">
        <v>412</v>
      </c>
      <c r="CG69" s="51" t="s">
        <v>412</v>
      </c>
      <c r="CH69" s="51" t="s">
        <v>412</v>
      </c>
      <c r="CI69" s="51" t="s">
        <v>394</v>
      </c>
      <c r="CJ69" s="51" t="s">
        <v>402</v>
      </c>
      <c r="CK69" s="51" t="s">
        <v>402</v>
      </c>
      <c r="CL69" s="51" t="s">
        <v>402</v>
      </c>
      <c r="CM69" s="51" t="s">
        <v>402</v>
      </c>
      <c r="CN69" s="57"/>
      <c r="CO69" s="51"/>
      <c r="CP69" s="51" t="s">
        <v>412</v>
      </c>
      <c r="CQ69" s="51" t="s">
        <v>412</v>
      </c>
      <c r="CR69" s="51" t="s">
        <v>396</v>
      </c>
      <c r="CS69" s="51" t="s">
        <v>412</v>
      </c>
      <c r="CT69" s="51" t="s">
        <v>400</v>
      </c>
      <c r="CU69" s="51" t="s">
        <v>396</v>
      </c>
      <c r="CV69" s="51" t="s">
        <v>400</v>
      </c>
      <c r="CW69" s="57" t="s">
        <v>398</v>
      </c>
      <c r="CX69" s="51" t="s">
        <v>398</v>
      </c>
      <c r="CY69" s="51" t="s">
        <v>398</v>
      </c>
      <c r="CZ69" s="64" t="str">
        <f>IF(_xlfn.XLOOKUP(B69,[2]累计数据!$C$193:$C$245,[2]累计数据!$C$193:$C$245,"N")=B69,"Y","N")</f>
        <v>N</v>
      </c>
      <c r="DA69" s="58">
        <v>0.02</v>
      </c>
      <c r="DB69" s="59">
        <v>0.02</v>
      </c>
      <c r="DC69" s="59">
        <v>0.02</v>
      </c>
      <c r="DD69" s="65"/>
      <c r="DE69"/>
      <c r="DF69"/>
      <c r="DG69"/>
      <c r="DH69"/>
      <c r="DI69"/>
      <c r="DJ69" s="3"/>
    </row>
    <row r="70" customFormat="1" ht="22.5" customHeight="1" spans="1:114">
      <c r="A70" s="46">
        <v>12489</v>
      </c>
      <c r="B70" s="47" t="s">
        <v>444</v>
      </c>
      <c r="C70" s="48">
        <v>46122</v>
      </c>
      <c r="D70" s="49">
        <f>IF(_xlfn.XLOOKUP(A70,[1]分配表!J:J,[1]分配表!M:M)=0,"未出单",_xlfn.XLOOKUP(A70,[1]分配表!J:J,[1]分配表!M:M))</f>
        <v>46126</v>
      </c>
      <c r="E70" s="50" t="str">
        <f>_xlfn.XLOOKUP(A70,[1]分配表!A:A,[1]分配表!C:C)</f>
        <v>俞东旭</v>
      </c>
      <c r="F70" s="50" t="s">
        <v>97</v>
      </c>
      <c r="G70" s="50" t="s">
        <v>34</v>
      </c>
      <c r="H70" s="51">
        <v>0</v>
      </c>
      <c r="I70" s="51">
        <v>0</v>
      </c>
      <c r="J70" s="51">
        <v>0</v>
      </c>
      <c r="K70" s="51" t="s">
        <v>412</v>
      </c>
      <c r="L70" s="51" t="s">
        <v>412</v>
      </c>
      <c r="M70" s="51">
        <v>2</v>
      </c>
      <c r="N70" s="51">
        <v>0</v>
      </c>
      <c r="O70" s="51">
        <v>6</v>
      </c>
      <c r="P70" s="51">
        <v>7</v>
      </c>
      <c r="Q70" s="52">
        <f t="shared" si="2"/>
        <v>1</v>
      </c>
      <c r="R70" s="53">
        <v>0</v>
      </c>
      <c r="S70" s="54">
        <v>0</v>
      </c>
      <c r="T70" s="54">
        <v>0</v>
      </c>
      <c r="U70" s="54" t="s">
        <v>412</v>
      </c>
      <c r="V70" s="54" t="s">
        <v>412</v>
      </c>
      <c r="W70" s="54">
        <v>90</v>
      </c>
      <c r="X70" s="54">
        <v>0</v>
      </c>
      <c r="Y70" s="55">
        <v>270</v>
      </c>
      <c r="Z70" s="56">
        <v>315</v>
      </c>
      <c r="AA70" s="54">
        <f t="shared" si="3"/>
        <v>45</v>
      </c>
      <c r="AB70" s="57">
        <v>0</v>
      </c>
      <c r="AC70" s="51">
        <v>0</v>
      </c>
      <c r="AD70" s="51">
        <v>0</v>
      </c>
      <c r="AE70" s="51" t="s">
        <v>412</v>
      </c>
      <c r="AF70" s="51" t="s">
        <v>412</v>
      </c>
      <c r="AG70" s="51">
        <v>5</v>
      </c>
      <c r="AH70" s="51">
        <v>3</v>
      </c>
      <c r="AI70" s="51">
        <v>2</v>
      </c>
      <c r="AJ70" s="51">
        <v>6</v>
      </c>
      <c r="AK70" s="58" t="s">
        <v>390</v>
      </c>
      <c r="AL70" s="59" t="s">
        <v>390</v>
      </c>
      <c r="AM70" s="59" t="s">
        <v>390</v>
      </c>
      <c r="AN70" s="51" t="s">
        <v>412</v>
      </c>
      <c r="AO70" s="51" t="s">
        <v>412</v>
      </c>
      <c r="AP70" s="59">
        <v>0.285714285714286</v>
      </c>
      <c r="AQ70" s="59">
        <v>0.4</v>
      </c>
      <c r="AR70" s="59">
        <v>0.6667</v>
      </c>
      <c r="AS70" s="59">
        <v>0.6</v>
      </c>
      <c r="AT70" s="60" t="s">
        <v>412</v>
      </c>
      <c r="AU70" s="61" t="s">
        <v>412</v>
      </c>
      <c r="AV70" s="61" t="s">
        <v>412</v>
      </c>
      <c r="AW70" s="51" t="s">
        <v>412</v>
      </c>
      <c r="AX70" s="51" t="s">
        <v>412</v>
      </c>
      <c r="AY70" s="61">
        <v>5</v>
      </c>
      <c r="AZ70" s="61">
        <v>1</v>
      </c>
      <c r="BA70" s="61">
        <v>8</v>
      </c>
      <c r="BB70" s="62">
        <v>0</v>
      </c>
      <c r="BC70" s="54" t="s">
        <v>412</v>
      </c>
      <c r="BD70" s="54" t="s">
        <v>412</v>
      </c>
      <c r="BE70" s="54" t="s">
        <v>412</v>
      </c>
      <c r="BF70" s="51" t="s">
        <v>412</v>
      </c>
      <c r="BG70" s="51" t="s">
        <v>412</v>
      </c>
      <c r="BH70" s="54" t="s">
        <v>120</v>
      </c>
      <c r="BI70" s="54" t="s">
        <v>391</v>
      </c>
      <c r="BJ70" s="54" t="s">
        <v>391</v>
      </c>
      <c r="BK70" s="54" t="s">
        <v>391</v>
      </c>
      <c r="BL70" s="53"/>
      <c r="BM70" s="54"/>
      <c r="BN70" s="54"/>
      <c r="BO70" s="51" t="s">
        <v>412</v>
      </c>
      <c r="BP70" s="51" t="s">
        <v>412</v>
      </c>
      <c r="BQ70" s="54" t="s">
        <v>392</v>
      </c>
      <c r="BR70" s="54" t="s">
        <v>392</v>
      </c>
      <c r="BS70" s="54" t="s">
        <v>393</v>
      </c>
      <c r="BT70" s="63" t="s">
        <v>392</v>
      </c>
      <c r="BU70" s="53"/>
      <c r="BV70" s="54"/>
      <c r="BW70" s="54"/>
      <c r="BX70" s="51" t="s">
        <v>412</v>
      </c>
      <c r="BY70" s="51" t="s">
        <v>412</v>
      </c>
      <c r="BZ70" s="54" t="s">
        <v>393</v>
      </c>
      <c r="CA70" s="54" t="s">
        <v>392</v>
      </c>
      <c r="CB70" s="54" t="s">
        <v>392</v>
      </c>
      <c r="CC70" s="54" t="s">
        <v>392</v>
      </c>
      <c r="CD70" s="57" t="s">
        <v>412</v>
      </c>
      <c r="CE70" s="51" t="s">
        <v>412</v>
      </c>
      <c r="CF70" s="51" t="s">
        <v>412</v>
      </c>
      <c r="CG70" s="51" t="s">
        <v>412</v>
      </c>
      <c r="CH70" s="51" t="s">
        <v>412</v>
      </c>
      <c r="CI70" s="51" t="s">
        <v>412</v>
      </c>
      <c r="CJ70" s="51" t="s">
        <v>402</v>
      </c>
      <c r="CK70" s="51" t="s">
        <v>402</v>
      </c>
      <c r="CL70" s="51" t="s">
        <v>402</v>
      </c>
      <c r="CM70" s="51" t="s">
        <v>402</v>
      </c>
      <c r="CN70" s="57"/>
      <c r="CO70" s="51"/>
      <c r="CP70" s="51" t="s">
        <v>412</v>
      </c>
      <c r="CQ70" s="51" t="s">
        <v>412</v>
      </c>
      <c r="CR70" s="51" t="s">
        <v>412</v>
      </c>
      <c r="CS70" s="51" t="s">
        <v>412</v>
      </c>
      <c r="CT70" s="51" t="s">
        <v>400</v>
      </c>
      <c r="CU70" s="51" t="s">
        <v>396</v>
      </c>
      <c r="CV70" s="51" t="s">
        <v>400</v>
      </c>
      <c r="CW70" s="57" t="s">
        <v>398</v>
      </c>
      <c r="CX70" s="51" t="s">
        <v>398</v>
      </c>
      <c r="CY70" s="51" t="s">
        <v>398</v>
      </c>
      <c r="CZ70" s="64" t="str">
        <f>IF(_xlfn.XLOOKUP(B70,[2]累计数据!$C$193:$C$245,[2]累计数据!$C$193:$C$245,"N")=B70,"Y","N")</f>
        <v>N</v>
      </c>
      <c r="DA70" s="58">
        <v>0.02</v>
      </c>
      <c r="DB70" s="59">
        <v>0.02</v>
      </c>
      <c r="DC70" s="59">
        <v>0.02</v>
      </c>
      <c r="DD70" s="65"/>
      <c r="DE70"/>
      <c r="DF70"/>
      <c r="DG70"/>
      <c r="DH70"/>
      <c r="DI70"/>
      <c r="DJ70" s="3"/>
    </row>
    <row r="71" customFormat="1" ht="22.5" customHeight="1" spans="1:114">
      <c r="A71" s="46">
        <v>12480</v>
      </c>
      <c r="B71" s="47" t="s">
        <v>197</v>
      </c>
      <c r="C71" s="48">
        <v>46135</v>
      </c>
      <c r="D71" s="49">
        <f>IF(_xlfn.XLOOKUP(A71,[1]分配表!J:J,[1]分配表!M:M)=0,"未出单",_xlfn.XLOOKUP(A71,[1]分配表!J:J,[1]分配表!M:M))</f>
        <v>46139</v>
      </c>
      <c r="E71" s="50" t="str">
        <f>_xlfn.XLOOKUP(A71,[1]分配表!A:A,[1]分配表!C:C)</f>
        <v>张潇</v>
      </c>
      <c r="F71" s="50" t="s">
        <v>216</v>
      </c>
      <c r="G71" s="50" t="s">
        <v>34</v>
      </c>
      <c r="H71" s="51" t="s">
        <v>412</v>
      </c>
      <c r="I71" s="51" t="s">
        <v>412</v>
      </c>
      <c r="J71" s="51" t="s">
        <v>412</v>
      </c>
      <c r="K71" s="51" t="s">
        <v>412</v>
      </c>
      <c r="L71" s="51" t="s">
        <v>412</v>
      </c>
      <c r="M71" s="51" t="s">
        <v>412</v>
      </c>
      <c r="N71" s="51" t="s">
        <v>412</v>
      </c>
      <c r="O71" s="51">
        <v>1</v>
      </c>
      <c r="P71" s="51">
        <v>1</v>
      </c>
      <c r="Q71" s="52">
        <f t="shared" si="2"/>
        <v>0</v>
      </c>
      <c r="R71" s="57" t="s">
        <v>412</v>
      </c>
      <c r="S71" s="51" t="s">
        <v>412</v>
      </c>
      <c r="T71" s="51" t="s">
        <v>412</v>
      </c>
      <c r="U71" s="51" t="s">
        <v>412</v>
      </c>
      <c r="V71" s="51" t="s">
        <v>412</v>
      </c>
      <c r="W71" s="51" t="s">
        <v>412</v>
      </c>
      <c r="X71" s="54">
        <v>0</v>
      </c>
      <c r="Y71" s="55">
        <v>45</v>
      </c>
      <c r="Z71" s="56">
        <v>45</v>
      </c>
      <c r="AA71" s="54">
        <f t="shared" si="3"/>
        <v>0</v>
      </c>
      <c r="AB71" s="57" t="s">
        <v>412</v>
      </c>
      <c r="AC71" s="51" t="s">
        <v>412</v>
      </c>
      <c r="AD71" s="51" t="s">
        <v>412</v>
      </c>
      <c r="AE71" s="51" t="s">
        <v>412</v>
      </c>
      <c r="AF71" s="51" t="s">
        <v>412</v>
      </c>
      <c r="AG71" s="51" t="s">
        <v>412</v>
      </c>
      <c r="AH71" s="51" t="s">
        <v>412</v>
      </c>
      <c r="AI71" s="51">
        <v>0</v>
      </c>
      <c r="AJ71" s="51">
        <v>2</v>
      </c>
      <c r="AK71" s="57" t="s">
        <v>412</v>
      </c>
      <c r="AL71" s="51" t="s">
        <v>412</v>
      </c>
      <c r="AM71" s="51" t="s">
        <v>412</v>
      </c>
      <c r="AN71" s="51" t="s">
        <v>412</v>
      </c>
      <c r="AO71" s="51" t="s">
        <v>412</v>
      </c>
      <c r="AP71" s="51" t="s">
        <v>412</v>
      </c>
      <c r="AQ71" s="59" t="s">
        <v>412</v>
      </c>
      <c r="AR71" s="59">
        <v>1</v>
      </c>
      <c r="AS71" s="59">
        <v>0.3333</v>
      </c>
      <c r="AT71" s="57" t="s">
        <v>412</v>
      </c>
      <c r="AU71" s="51" t="s">
        <v>412</v>
      </c>
      <c r="AV71" s="51" t="s">
        <v>412</v>
      </c>
      <c r="AW71" s="51" t="s">
        <v>412</v>
      </c>
      <c r="AX71" s="51" t="s">
        <v>412</v>
      </c>
      <c r="AY71" s="51" t="s">
        <v>412</v>
      </c>
      <c r="AZ71" s="61" t="s">
        <v>412</v>
      </c>
      <c r="BA71" s="61">
        <v>0</v>
      </c>
      <c r="BB71" s="62">
        <v>7</v>
      </c>
      <c r="BC71" s="51" t="s">
        <v>412</v>
      </c>
      <c r="BD71" s="70" t="s">
        <v>412</v>
      </c>
      <c r="BE71" s="70" t="s">
        <v>412</v>
      </c>
      <c r="BF71" s="70" t="s">
        <v>412</v>
      </c>
      <c r="BG71" s="70" t="s">
        <v>412</v>
      </c>
      <c r="BH71" s="70" t="s">
        <v>412</v>
      </c>
      <c r="BI71" s="54" t="s">
        <v>412</v>
      </c>
      <c r="BJ71" s="54" t="s">
        <v>391</v>
      </c>
      <c r="BK71" s="54" t="s">
        <v>391</v>
      </c>
      <c r="BL71" s="57" t="s">
        <v>412</v>
      </c>
      <c r="BM71" s="51" t="s">
        <v>412</v>
      </c>
      <c r="BN71" s="51" t="s">
        <v>412</v>
      </c>
      <c r="BO71" s="51" t="s">
        <v>412</v>
      </c>
      <c r="BP71" s="51" t="s">
        <v>412</v>
      </c>
      <c r="BQ71" s="51" t="s">
        <v>412</v>
      </c>
      <c r="BR71" s="54" t="s">
        <v>412</v>
      </c>
      <c r="BS71" s="54" t="s">
        <v>392</v>
      </c>
      <c r="BT71" s="63" t="s">
        <v>393</v>
      </c>
      <c r="BU71" s="57" t="s">
        <v>412</v>
      </c>
      <c r="BV71" s="51" t="s">
        <v>412</v>
      </c>
      <c r="BW71" s="51" t="s">
        <v>412</v>
      </c>
      <c r="BX71" s="51" t="s">
        <v>412</v>
      </c>
      <c r="BY71" s="51" t="s">
        <v>412</v>
      </c>
      <c r="BZ71" s="51" t="s">
        <v>412</v>
      </c>
      <c r="CA71" s="54" t="s">
        <v>412</v>
      </c>
      <c r="CB71" s="54" t="s">
        <v>392</v>
      </c>
      <c r="CC71" s="54" t="s">
        <v>392</v>
      </c>
      <c r="CD71" s="57" t="s">
        <v>412</v>
      </c>
      <c r="CE71" s="51" t="s">
        <v>412</v>
      </c>
      <c r="CF71" s="51" t="s">
        <v>412</v>
      </c>
      <c r="CG71" s="51" t="s">
        <v>412</v>
      </c>
      <c r="CH71" s="51" t="s">
        <v>412</v>
      </c>
      <c r="CI71" s="51" t="s">
        <v>412</v>
      </c>
      <c r="CJ71" s="51" t="s">
        <v>412</v>
      </c>
      <c r="CK71" s="51" t="s">
        <v>412</v>
      </c>
      <c r="CL71" s="51" t="s">
        <v>392</v>
      </c>
      <c r="CM71" s="51" t="s">
        <v>402</v>
      </c>
      <c r="CN71" s="71" t="s">
        <v>412</v>
      </c>
      <c r="CO71" s="72" t="s">
        <v>412</v>
      </c>
      <c r="CP71" s="72" t="s">
        <v>412</v>
      </c>
      <c r="CQ71" s="72" t="s">
        <v>412</v>
      </c>
      <c r="CR71" s="72" t="s">
        <v>412</v>
      </c>
      <c r="CS71" s="72" t="s">
        <v>412</v>
      </c>
      <c r="CT71" s="51" t="s">
        <v>412</v>
      </c>
      <c r="CU71" s="51" t="s">
        <v>412</v>
      </c>
      <c r="CV71" s="51" t="s">
        <v>396</v>
      </c>
      <c r="CW71" s="57" t="s">
        <v>398</v>
      </c>
      <c r="CX71" s="51" t="s">
        <v>391</v>
      </c>
      <c r="CY71" s="51" t="s">
        <v>391</v>
      </c>
      <c r="CZ71" s="64" t="str">
        <f>IF(_xlfn.XLOOKUP(B71,[2]累计数据!$C$193:$C$245,[2]累计数据!$C$193:$C$245,"N")=B71,"Y","N")</f>
        <v>Y</v>
      </c>
      <c r="DA71" s="58">
        <v>0</v>
      </c>
      <c r="DB71" s="59">
        <v>0.02</v>
      </c>
      <c r="DC71" s="59">
        <v>0.02</v>
      </c>
      <c r="DD71" s="65"/>
      <c r="DE71" s="51"/>
      <c r="DF71" s="51"/>
      <c r="DG71" s="51"/>
      <c r="DH71" s="51"/>
      <c r="DI71" s="51"/>
      <c r="DJ71" s="51"/>
    </row>
    <row r="72" customFormat="1" ht="22.5" customHeight="1" spans="1:114">
      <c r="A72" s="46">
        <v>12558</v>
      </c>
      <c r="B72" s="47" t="s">
        <v>204</v>
      </c>
      <c r="C72" s="48">
        <v>46135</v>
      </c>
      <c r="D72" s="49" t="str">
        <f>IF(_xlfn.XLOOKUP(A72,[1]分配表!J:J,[1]分配表!M:M)=0,"未出单",_xlfn.XLOOKUP(A72,[1]分配表!J:J,[1]分配表!M:M))</f>
        <v>未出单</v>
      </c>
      <c r="E72" s="50" t="str">
        <f>_xlfn.XLOOKUP(A72,[1]分配表!A:A,[1]分配表!C:C)</f>
        <v>朱培源</v>
      </c>
      <c r="F72" s="50" t="s">
        <v>97</v>
      </c>
      <c r="G72" s="50" t="s">
        <v>34</v>
      </c>
      <c r="H72" s="51" t="s">
        <v>412</v>
      </c>
      <c r="I72" s="51" t="s">
        <v>412</v>
      </c>
      <c r="J72" s="51" t="s">
        <v>412</v>
      </c>
      <c r="K72" s="51" t="s">
        <v>412</v>
      </c>
      <c r="L72" s="51" t="s">
        <v>412</v>
      </c>
      <c r="M72" s="51" t="s">
        <v>412</v>
      </c>
      <c r="N72" s="51" t="s">
        <v>412</v>
      </c>
      <c r="O72" s="51">
        <v>0</v>
      </c>
      <c r="P72" s="51">
        <v>0</v>
      </c>
      <c r="Q72" s="52">
        <f t="shared" si="2"/>
        <v>0</v>
      </c>
      <c r="R72" s="57" t="s">
        <v>412</v>
      </c>
      <c r="S72" s="51" t="s">
        <v>412</v>
      </c>
      <c r="T72" s="51" t="s">
        <v>412</v>
      </c>
      <c r="U72" s="51" t="s">
        <v>412</v>
      </c>
      <c r="V72" s="51" t="s">
        <v>412</v>
      </c>
      <c r="W72" s="51" t="s">
        <v>412</v>
      </c>
      <c r="X72" s="54">
        <v>0</v>
      </c>
      <c r="Y72" s="55">
        <v>0</v>
      </c>
      <c r="Z72" s="56">
        <v>0</v>
      </c>
      <c r="AA72" s="54">
        <f t="shared" si="3"/>
        <v>0</v>
      </c>
      <c r="AB72" s="57" t="s">
        <v>412</v>
      </c>
      <c r="AC72" s="51" t="s">
        <v>412</v>
      </c>
      <c r="AD72" s="51" t="s">
        <v>412</v>
      </c>
      <c r="AE72" s="51" t="s">
        <v>412</v>
      </c>
      <c r="AF72" s="51" t="s">
        <v>412</v>
      </c>
      <c r="AG72" s="51" t="s">
        <v>412</v>
      </c>
      <c r="AH72" s="51" t="s">
        <v>412</v>
      </c>
      <c r="AI72" s="51">
        <v>0</v>
      </c>
      <c r="AJ72" s="51">
        <v>0</v>
      </c>
      <c r="AK72" s="57" t="s">
        <v>412</v>
      </c>
      <c r="AL72" s="51" t="s">
        <v>412</v>
      </c>
      <c r="AM72" s="51" t="s">
        <v>412</v>
      </c>
      <c r="AN72" s="51" t="s">
        <v>412</v>
      </c>
      <c r="AO72" s="51" t="s">
        <v>412</v>
      </c>
      <c r="AP72" s="51" t="s">
        <v>412</v>
      </c>
      <c r="AQ72" s="59" t="s">
        <v>412</v>
      </c>
      <c r="AR72" s="59" t="s">
        <v>390</v>
      </c>
      <c r="AS72" s="59" t="s">
        <v>390</v>
      </c>
      <c r="AT72" s="57" t="s">
        <v>412</v>
      </c>
      <c r="AU72" s="51" t="s">
        <v>412</v>
      </c>
      <c r="AV72" s="51" t="s">
        <v>412</v>
      </c>
      <c r="AW72" s="51" t="s">
        <v>412</v>
      </c>
      <c r="AX72" s="51" t="s">
        <v>412</v>
      </c>
      <c r="AY72" s="51" t="s">
        <v>412</v>
      </c>
      <c r="AZ72" s="61" t="s">
        <v>412</v>
      </c>
      <c r="BA72" s="61">
        <v>5</v>
      </c>
      <c r="BB72" s="62">
        <v>1</v>
      </c>
      <c r="BC72" s="51" t="s">
        <v>412</v>
      </c>
      <c r="BD72" s="70" t="s">
        <v>412</v>
      </c>
      <c r="BE72" s="70" t="s">
        <v>412</v>
      </c>
      <c r="BF72" s="70" t="s">
        <v>412</v>
      </c>
      <c r="BG72" s="70" t="s">
        <v>412</v>
      </c>
      <c r="BH72" s="70" t="s">
        <v>412</v>
      </c>
      <c r="BI72" s="54" t="s">
        <v>412</v>
      </c>
      <c r="BJ72" s="54" t="s">
        <v>120</v>
      </c>
      <c r="BK72" s="54" t="s">
        <v>120</v>
      </c>
      <c r="BL72" s="57" t="s">
        <v>412</v>
      </c>
      <c r="BM72" s="51" t="s">
        <v>412</v>
      </c>
      <c r="BN72" s="51" t="s">
        <v>412</v>
      </c>
      <c r="BO72" s="51" t="s">
        <v>412</v>
      </c>
      <c r="BP72" s="51" t="s">
        <v>412</v>
      </c>
      <c r="BQ72" s="51" t="s">
        <v>412</v>
      </c>
      <c r="BR72" s="54" t="s">
        <v>412</v>
      </c>
      <c r="BS72" s="54" t="s">
        <v>392</v>
      </c>
      <c r="BT72" s="63" t="s">
        <v>392</v>
      </c>
      <c r="BU72" s="57" t="s">
        <v>412</v>
      </c>
      <c r="BV72" s="51" t="s">
        <v>412</v>
      </c>
      <c r="BW72" s="51" t="s">
        <v>412</v>
      </c>
      <c r="BX72" s="51" t="s">
        <v>412</v>
      </c>
      <c r="BY72" s="51" t="s">
        <v>412</v>
      </c>
      <c r="BZ72" s="51" t="s">
        <v>412</v>
      </c>
      <c r="CA72" s="54" t="s">
        <v>412</v>
      </c>
      <c r="CB72" s="54" t="s">
        <v>393</v>
      </c>
      <c r="CC72" s="54" t="s">
        <v>392</v>
      </c>
      <c r="CD72" s="57" t="s">
        <v>412</v>
      </c>
      <c r="CE72" s="51" t="s">
        <v>412</v>
      </c>
      <c r="CF72" s="51" t="s">
        <v>412</v>
      </c>
      <c r="CG72" s="51" t="s">
        <v>412</v>
      </c>
      <c r="CH72" s="51" t="s">
        <v>412</v>
      </c>
      <c r="CI72" s="51" t="s">
        <v>412</v>
      </c>
      <c r="CJ72" s="51" t="s">
        <v>412</v>
      </c>
      <c r="CK72" s="51" t="s">
        <v>412</v>
      </c>
      <c r="CL72" s="51" t="s">
        <v>394</v>
      </c>
      <c r="CM72" s="51" t="s">
        <v>394</v>
      </c>
      <c r="CN72" s="71" t="s">
        <v>412</v>
      </c>
      <c r="CO72" s="72" t="s">
        <v>412</v>
      </c>
      <c r="CP72" s="72" t="s">
        <v>412</v>
      </c>
      <c r="CQ72" s="72" t="s">
        <v>412</v>
      </c>
      <c r="CR72" s="72" t="s">
        <v>412</v>
      </c>
      <c r="CS72" s="72" t="s">
        <v>412</v>
      </c>
      <c r="CT72" s="51" t="s">
        <v>412</v>
      </c>
      <c r="CU72" s="51" t="s">
        <v>412</v>
      </c>
      <c r="CV72" s="51" t="s">
        <v>404</v>
      </c>
      <c r="CW72" s="57" t="s">
        <v>398</v>
      </c>
      <c r="CX72" s="51" t="s">
        <v>391</v>
      </c>
      <c r="CY72" s="51" t="s">
        <v>391</v>
      </c>
      <c r="CZ72" s="64" t="str">
        <f>IF(_xlfn.XLOOKUP(B72,[2]累计数据!$C$193:$C$245,[2]累计数据!$C$193:$C$245,"N")=B72,"Y","N")</f>
        <v>Y</v>
      </c>
      <c r="DA72" s="58">
        <v>0</v>
      </c>
      <c r="DB72" s="59">
        <v>0.02</v>
      </c>
      <c r="DC72" s="59">
        <v>0</v>
      </c>
      <c r="DD72" s="65"/>
      <c r="DE72" s="51"/>
      <c r="DF72" s="51"/>
      <c r="DG72" s="51"/>
      <c r="DH72" s="51"/>
      <c r="DI72" s="51"/>
      <c r="DJ72" s="51"/>
    </row>
    <row r="73" customFormat="1" ht="22.5" customHeight="1" spans="1:114">
      <c r="A73" s="46">
        <v>12473</v>
      </c>
      <c r="B73" s="47" t="s">
        <v>445</v>
      </c>
      <c r="C73" s="48">
        <v>46135</v>
      </c>
      <c r="D73" s="49" t="str">
        <f>IF(_xlfn.XLOOKUP(A73,[1]分配表!J:J,[1]分配表!M:M)=0,"未出单",_xlfn.XLOOKUP(A73,[1]分配表!J:J,[1]分配表!M:M))</f>
        <v>未出单</v>
      </c>
      <c r="E73" s="50" t="str">
        <f>_xlfn.XLOOKUP(A73,[1]分配表!A:A,[1]分配表!C:C)</f>
        <v>张潇</v>
      </c>
      <c r="F73" s="50" t="s">
        <v>33</v>
      </c>
      <c r="G73" s="50" t="s">
        <v>34</v>
      </c>
      <c r="H73" s="51" t="s">
        <v>412</v>
      </c>
      <c r="I73" s="51" t="s">
        <v>412</v>
      </c>
      <c r="J73" s="51" t="s">
        <v>412</v>
      </c>
      <c r="K73" s="51" t="s">
        <v>412</v>
      </c>
      <c r="L73" s="51" t="s">
        <v>412</v>
      </c>
      <c r="M73" s="51" t="s">
        <v>412</v>
      </c>
      <c r="N73" s="51" t="s">
        <v>412</v>
      </c>
      <c r="O73" s="51">
        <v>0</v>
      </c>
      <c r="P73" s="51">
        <v>0</v>
      </c>
      <c r="Q73" s="52">
        <f t="shared" si="2"/>
        <v>0</v>
      </c>
      <c r="R73" s="57" t="s">
        <v>412</v>
      </c>
      <c r="S73" s="51" t="s">
        <v>412</v>
      </c>
      <c r="T73" s="51" t="s">
        <v>412</v>
      </c>
      <c r="U73" s="51" t="s">
        <v>412</v>
      </c>
      <c r="V73" s="51" t="s">
        <v>412</v>
      </c>
      <c r="W73" s="51" t="s">
        <v>412</v>
      </c>
      <c r="X73" s="54">
        <v>0</v>
      </c>
      <c r="Y73" s="55">
        <v>0</v>
      </c>
      <c r="Z73" s="56">
        <v>0</v>
      </c>
      <c r="AA73" s="54">
        <f t="shared" si="3"/>
        <v>0</v>
      </c>
      <c r="AB73" s="57" t="s">
        <v>412</v>
      </c>
      <c r="AC73" s="51" t="s">
        <v>412</v>
      </c>
      <c r="AD73" s="51" t="s">
        <v>412</v>
      </c>
      <c r="AE73" s="51" t="s">
        <v>412</v>
      </c>
      <c r="AF73" s="51" t="s">
        <v>412</v>
      </c>
      <c r="AG73" s="51" t="s">
        <v>412</v>
      </c>
      <c r="AH73" s="51" t="s">
        <v>412</v>
      </c>
      <c r="AI73" s="51">
        <v>0</v>
      </c>
      <c r="AJ73" s="51">
        <v>0</v>
      </c>
      <c r="AK73" s="57" t="s">
        <v>412</v>
      </c>
      <c r="AL73" s="51" t="s">
        <v>412</v>
      </c>
      <c r="AM73" s="51" t="s">
        <v>412</v>
      </c>
      <c r="AN73" s="51" t="s">
        <v>412</v>
      </c>
      <c r="AO73" s="51" t="s">
        <v>412</v>
      </c>
      <c r="AP73" s="51" t="s">
        <v>412</v>
      </c>
      <c r="AQ73" s="59" t="s">
        <v>412</v>
      </c>
      <c r="AR73" s="59" t="s">
        <v>390</v>
      </c>
      <c r="AS73" s="59" t="s">
        <v>390</v>
      </c>
      <c r="AT73" s="57" t="s">
        <v>412</v>
      </c>
      <c r="AU73" s="51" t="s">
        <v>412</v>
      </c>
      <c r="AV73" s="51" t="s">
        <v>412</v>
      </c>
      <c r="AW73" s="51" t="s">
        <v>412</v>
      </c>
      <c r="AX73" s="51" t="s">
        <v>412</v>
      </c>
      <c r="AY73" s="51" t="s">
        <v>412</v>
      </c>
      <c r="AZ73" s="61" t="s">
        <v>412</v>
      </c>
      <c r="BA73" s="61">
        <v>0</v>
      </c>
      <c r="BB73" s="62">
        <v>7</v>
      </c>
      <c r="BC73" s="51" t="s">
        <v>412</v>
      </c>
      <c r="BD73" s="70" t="s">
        <v>412</v>
      </c>
      <c r="BE73" s="70" t="s">
        <v>412</v>
      </c>
      <c r="BF73" s="70" t="s">
        <v>412</v>
      </c>
      <c r="BG73" s="70" t="s">
        <v>412</v>
      </c>
      <c r="BH73" s="70" t="s">
        <v>412</v>
      </c>
      <c r="BI73" s="54" t="s">
        <v>412</v>
      </c>
      <c r="BJ73" s="54" t="s">
        <v>120</v>
      </c>
      <c r="BK73" s="54" t="s">
        <v>120</v>
      </c>
      <c r="BL73" s="57" t="s">
        <v>412</v>
      </c>
      <c r="BM73" s="51" t="s">
        <v>412</v>
      </c>
      <c r="BN73" s="51" t="s">
        <v>412</v>
      </c>
      <c r="BO73" s="51" t="s">
        <v>412</v>
      </c>
      <c r="BP73" s="51" t="s">
        <v>412</v>
      </c>
      <c r="BQ73" s="51" t="s">
        <v>412</v>
      </c>
      <c r="BR73" s="54" t="s">
        <v>412</v>
      </c>
      <c r="BS73" s="54" t="s">
        <v>392</v>
      </c>
      <c r="BT73" s="63" t="s">
        <v>392</v>
      </c>
      <c r="BU73" s="57" t="s">
        <v>412</v>
      </c>
      <c r="BV73" s="51" t="s">
        <v>412</v>
      </c>
      <c r="BW73" s="51" t="s">
        <v>412</v>
      </c>
      <c r="BX73" s="51" t="s">
        <v>412</v>
      </c>
      <c r="BY73" s="51" t="s">
        <v>412</v>
      </c>
      <c r="BZ73" s="51" t="s">
        <v>412</v>
      </c>
      <c r="CA73" s="54" t="s">
        <v>412</v>
      </c>
      <c r="CB73" s="54" t="s">
        <v>392</v>
      </c>
      <c r="CC73" s="54" t="s">
        <v>392</v>
      </c>
      <c r="CD73" s="57" t="s">
        <v>412</v>
      </c>
      <c r="CE73" s="51" t="s">
        <v>412</v>
      </c>
      <c r="CF73" s="51" t="s">
        <v>412</v>
      </c>
      <c r="CG73" s="51" t="s">
        <v>412</v>
      </c>
      <c r="CH73" s="51" t="s">
        <v>412</v>
      </c>
      <c r="CI73" s="51" t="s">
        <v>412</v>
      </c>
      <c r="CJ73" s="51" t="s">
        <v>412</v>
      </c>
      <c r="CK73" s="51" t="s">
        <v>412</v>
      </c>
      <c r="CL73" s="51" t="s">
        <v>394</v>
      </c>
      <c r="CM73" s="51" t="s">
        <v>394</v>
      </c>
      <c r="CN73" s="71" t="s">
        <v>412</v>
      </c>
      <c r="CO73" s="72" t="s">
        <v>412</v>
      </c>
      <c r="CP73" s="72" t="s">
        <v>412</v>
      </c>
      <c r="CQ73" s="72" t="s">
        <v>412</v>
      </c>
      <c r="CR73" s="72" t="s">
        <v>412</v>
      </c>
      <c r="CS73" s="72" t="s">
        <v>412</v>
      </c>
      <c r="CT73" s="51" t="s">
        <v>412</v>
      </c>
      <c r="CU73" s="51" t="s">
        <v>412</v>
      </c>
      <c r="CV73" s="51" t="s">
        <v>396</v>
      </c>
      <c r="CW73" s="57" t="s">
        <v>398</v>
      </c>
      <c r="CX73" s="51" t="s">
        <v>398</v>
      </c>
      <c r="CY73" s="51" t="s">
        <v>398</v>
      </c>
      <c r="CZ73" s="64" t="str">
        <f>IF(_xlfn.XLOOKUP(B73,[2]累计数据!$C$193:$C$245,[2]累计数据!$C$193:$C$245,"N")=B73,"Y","N")</f>
        <v>N</v>
      </c>
      <c r="DA73" s="58">
        <v>0</v>
      </c>
      <c r="DB73" s="59">
        <v>0.02</v>
      </c>
      <c r="DC73" s="59">
        <v>0.02</v>
      </c>
      <c r="DD73" s="65"/>
      <c r="DE73" s="51"/>
      <c r="DF73" s="51"/>
      <c r="DG73" s="51"/>
      <c r="DH73" s="51"/>
      <c r="DI73" s="51"/>
      <c r="DJ73" s="51"/>
    </row>
    <row r="74" customFormat="1" ht="22.5" customHeight="1" spans="1:114">
      <c r="A74" s="46">
        <v>12464</v>
      </c>
      <c r="B74" s="47" t="s">
        <v>201</v>
      </c>
      <c r="C74" s="48">
        <v>46135</v>
      </c>
      <c r="D74" s="49">
        <f>IF(_xlfn.XLOOKUP(A74,[1]分配表!J:J,[1]分配表!M:M)=0,"未出单",_xlfn.XLOOKUP(A74,[1]分配表!J:J,[1]分配表!M:M))</f>
        <v>46135</v>
      </c>
      <c r="E74" s="50" t="str">
        <f>_xlfn.XLOOKUP(A74,[1]分配表!A:A,[1]分配表!C:C)</f>
        <v>俞东旭</v>
      </c>
      <c r="F74" s="50" t="s">
        <v>92</v>
      </c>
      <c r="G74" s="50" t="s">
        <v>34</v>
      </c>
      <c r="H74" s="51" t="s">
        <v>412</v>
      </c>
      <c r="I74" s="51" t="s">
        <v>412</v>
      </c>
      <c r="J74" s="51" t="s">
        <v>412</v>
      </c>
      <c r="K74" s="51" t="s">
        <v>412</v>
      </c>
      <c r="L74" s="51" t="s">
        <v>412</v>
      </c>
      <c r="M74" s="51" t="s">
        <v>412</v>
      </c>
      <c r="N74" s="51" t="s">
        <v>412</v>
      </c>
      <c r="O74" s="51">
        <v>5</v>
      </c>
      <c r="P74" s="51">
        <v>0</v>
      </c>
      <c r="Q74" s="52">
        <f t="shared" si="2"/>
        <v>-5</v>
      </c>
      <c r="R74" s="57" t="s">
        <v>412</v>
      </c>
      <c r="S74" s="51" t="s">
        <v>412</v>
      </c>
      <c r="T74" s="51" t="s">
        <v>412</v>
      </c>
      <c r="U74" s="51" t="s">
        <v>412</v>
      </c>
      <c r="V74" s="51" t="s">
        <v>412</v>
      </c>
      <c r="W74" s="51" t="s">
        <v>412</v>
      </c>
      <c r="X74" s="54">
        <v>0</v>
      </c>
      <c r="Y74" s="55">
        <v>625</v>
      </c>
      <c r="Z74" s="56">
        <v>0</v>
      </c>
      <c r="AA74" s="54">
        <f t="shared" si="3"/>
        <v>-625</v>
      </c>
      <c r="AB74" s="57" t="s">
        <v>412</v>
      </c>
      <c r="AC74" s="51" t="s">
        <v>412</v>
      </c>
      <c r="AD74" s="51" t="s">
        <v>412</v>
      </c>
      <c r="AE74" s="51" t="s">
        <v>412</v>
      </c>
      <c r="AF74" s="51" t="s">
        <v>412</v>
      </c>
      <c r="AG74" s="51" t="s">
        <v>412</v>
      </c>
      <c r="AH74" s="51" t="s">
        <v>412</v>
      </c>
      <c r="AI74" s="51">
        <v>1</v>
      </c>
      <c r="AJ74" s="51">
        <v>0</v>
      </c>
      <c r="AK74" s="57" t="s">
        <v>412</v>
      </c>
      <c r="AL74" s="51" t="s">
        <v>412</v>
      </c>
      <c r="AM74" s="51" t="s">
        <v>412</v>
      </c>
      <c r="AN74" s="51" t="s">
        <v>412</v>
      </c>
      <c r="AO74" s="51" t="s">
        <v>412</v>
      </c>
      <c r="AP74" s="51" t="s">
        <v>412</v>
      </c>
      <c r="AQ74" s="59" t="s">
        <v>412</v>
      </c>
      <c r="AR74" s="59">
        <v>0.75</v>
      </c>
      <c r="AS74" s="59">
        <v>1</v>
      </c>
      <c r="AT74" s="57" t="s">
        <v>412</v>
      </c>
      <c r="AU74" s="51" t="s">
        <v>412</v>
      </c>
      <c r="AV74" s="51" t="s">
        <v>412</v>
      </c>
      <c r="AW74" s="51" t="s">
        <v>412</v>
      </c>
      <c r="AX74" s="51" t="s">
        <v>412</v>
      </c>
      <c r="AY74" s="51" t="s">
        <v>412</v>
      </c>
      <c r="AZ74" s="61" t="s">
        <v>412</v>
      </c>
      <c r="BA74" s="61">
        <v>1</v>
      </c>
      <c r="BB74" s="62">
        <v>8</v>
      </c>
      <c r="BC74" s="51" t="s">
        <v>412</v>
      </c>
      <c r="BD74" s="70" t="s">
        <v>412</v>
      </c>
      <c r="BE74" s="70" t="s">
        <v>412</v>
      </c>
      <c r="BF74" s="70" t="s">
        <v>412</v>
      </c>
      <c r="BG74" s="70" t="s">
        <v>412</v>
      </c>
      <c r="BH74" s="70" t="s">
        <v>412</v>
      </c>
      <c r="BI74" s="54" t="s">
        <v>412</v>
      </c>
      <c r="BJ74" s="54" t="s">
        <v>391</v>
      </c>
      <c r="BK74" s="54" t="s">
        <v>391</v>
      </c>
      <c r="BL74" s="57" t="s">
        <v>412</v>
      </c>
      <c r="BM74" s="51" t="s">
        <v>412</v>
      </c>
      <c r="BN74" s="51" t="s">
        <v>412</v>
      </c>
      <c r="BO74" s="51" t="s">
        <v>412</v>
      </c>
      <c r="BP74" s="51" t="s">
        <v>412</v>
      </c>
      <c r="BQ74" s="51" t="s">
        <v>412</v>
      </c>
      <c r="BR74" s="54" t="s">
        <v>412</v>
      </c>
      <c r="BS74" s="54" t="s">
        <v>392</v>
      </c>
      <c r="BT74" s="63" t="s">
        <v>392</v>
      </c>
      <c r="BU74" s="57" t="s">
        <v>412</v>
      </c>
      <c r="BV74" s="51" t="s">
        <v>412</v>
      </c>
      <c r="BW74" s="51" t="s">
        <v>412</v>
      </c>
      <c r="BX74" s="51" t="s">
        <v>412</v>
      </c>
      <c r="BY74" s="51" t="s">
        <v>412</v>
      </c>
      <c r="BZ74" s="51" t="s">
        <v>412</v>
      </c>
      <c r="CA74" s="54" t="s">
        <v>412</v>
      </c>
      <c r="CB74" s="54" t="s">
        <v>392</v>
      </c>
      <c r="CC74" s="54" t="s">
        <v>392</v>
      </c>
      <c r="CD74" s="57" t="s">
        <v>412</v>
      </c>
      <c r="CE74" s="51" t="s">
        <v>412</v>
      </c>
      <c r="CF74" s="51" t="s">
        <v>412</v>
      </c>
      <c r="CG74" s="51" t="s">
        <v>412</v>
      </c>
      <c r="CH74" s="51" t="s">
        <v>412</v>
      </c>
      <c r="CI74" s="51" t="s">
        <v>412</v>
      </c>
      <c r="CJ74" s="51" t="s">
        <v>412</v>
      </c>
      <c r="CK74" s="51" t="s">
        <v>412</v>
      </c>
      <c r="CL74" s="51" t="s">
        <v>392</v>
      </c>
      <c r="CM74" s="51" t="s">
        <v>392</v>
      </c>
      <c r="CN74" s="71" t="s">
        <v>412</v>
      </c>
      <c r="CO74" s="72" t="s">
        <v>412</v>
      </c>
      <c r="CP74" s="72" t="s">
        <v>412</v>
      </c>
      <c r="CQ74" s="72" t="s">
        <v>412</v>
      </c>
      <c r="CR74" s="72" t="s">
        <v>412</v>
      </c>
      <c r="CS74" s="72" t="s">
        <v>412</v>
      </c>
      <c r="CT74" s="51" t="s">
        <v>412</v>
      </c>
      <c r="CU74" s="51" t="s">
        <v>412</v>
      </c>
      <c r="CV74" s="51" t="s">
        <v>396</v>
      </c>
      <c r="CW74" s="57" t="s">
        <v>398</v>
      </c>
      <c r="CX74" s="51" t="s">
        <v>391</v>
      </c>
      <c r="CY74" s="51" t="s">
        <v>391</v>
      </c>
      <c r="CZ74" s="64" t="str">
        <f>IF(_xlfn.XLOOKUP(B74,[2]累计数据!$C$193:$C$245,[2]累计数据!$C$193:$C$245,"N")=B74,"Y","N")</f>
        <v>Y</v>
      </c>
      <c r="DA74" s="58">
        <v>0</v>
      </c>
      <c r="DB74" s="59">
        <v>0.02</v>
      </c>
      <c r="DC74" s="59">
        <v>0.02</v>
      </c>
      <c r="DD74" s="65"/>
      <c r="DE74" s="51"/>
      <c r="DF74" s="51"/>
      <c r="DG74" s="51"/>
      <c r="DH74" s="51"/>
      <c r="DI74" s="51"/>
      <c r="DJ74" s="51"/>
    </row>
    <row r="75" customFormat="1" ht="22.5" customHeight="1" spans="1:114">
      <c r="A75" s="46">
        <v>12540</v>
      </c>
      <c r="B75" s="47" t="s">
        <v>207</v>
      </c>
      <c r="C75" s="48">
        <v>46135</v>
      </c>
      <c r="D75" s="49" t="str">
        <f>IF(_xlfn.XLOOKUP(A75,[1]分配表!J:J,[1]分配表!M:M)=0,"未出单",_xlfn.XLOOKUP(A75,[1]分配表!J:J,[1]分配表!M:M))</f>
        <v>未出单</v>
      </c>
      <c r="E75" s="50" t="str">
        <f>_xlfn.XLOOKUP(A75,[1]分配表!A:A,[1]分配表!C:C)</f>
        <v>胡煜星</v>
      </c>
      <c r="F75" s="50" t="s">
        <v>52</v>
      </c>
      <c r="G75" s="50" t="s">
        <v>34</v>
      </c>
      <c r="H75" s="51" t="s">
        <v>412</v>
      </c>
      <c r="I75" s="51" t="s">
        <v>412</v>
      </c>
      <c r="J75" s="51" t="s">
        <v>412</v>
      </c>
      <c r="K75" s="51" t="s">
        <v>412</v>
      </c>
      <c r="L75" s="51" t="s">
        <v>412</v>
      </c>
      <c r="M75" s="51" t="s">
        <v>412</v>
      </c>
      <c r="N75" s="51" t="s">
        <v>412</v>
      </c>
      <c r="O75" s="51">
        <v>0</v>
      </c>
      <c r="P75" s="51">
        <v>0</v>
      </c>
      <c r="Q75" s="52">
        <f t="shared" si="2"/>
        <v>0</v>
      </c>
      <c r="R75" s="57" t="s">
        <v>412</v>
      </c>
      <c r="S75" s="51" t="s">
        <v>412</v>
      </c>
      <c r="T75" s="51" t="s">
        <v>412</v>
      </c>
      <c r="U75" s="51" t="s">
        <v>412</v>
      </c>
      <c r="V75" s="51" t="s">
        <v>412</v>
      </c>
      <c r="W75" s="51" t="s">
        <v>412</v>
      </c>
      <c r="X75" s="54">
        <v>0</v>
      </c>
      <c r="Y75" s="55">
        <v>0</v>
      </c>
      <c r="Z75" s="56">
        <v>0</v>
      </c>
      <c r="AA75" s="54">
        <f t="shared" si="3"/>
        <v>0</v>
      </c>
      <c r="AB75" s="57" t="s">
        <v>412</v>
      </c>
      <c r="AC75" s="51" t="s">
        <v>412</v>
      </c>
      <c r="AD75" s="51" t="s">
        <v>412</v>
      </c>
      <c r="AE75" s="51" t="s">
        <v>412</v>
      </c>
      <c r="AF75" s="51" t="s">
        <v>412</v>
      </c>
      <c r="AG75" s="51" t="s">
        <v>412</v>
      </c>
      <c r="AH75" s="51" t="s">
        <v>412</v>
      </c>
      <c r="AI75" s="51">
        <v>0</v>
      </c>
      <c r="AJ75" s="51">
        <v>0</v>
      </c>
      <c r="AK75" s="57" t="s">
        <v>412</v>
      </c>
      <c r="AL75" s="51" t="s">
        <v>412</v>
      </c>
      <c r="AM75" s="51" t="s">
        <v>412</v>
      </c>
      <c r="AN75" s="51" t="s">
        <v>412</v>
      </c>
      <c r="AO75" s="51" t="s">
        <v>412</v>
      </c>
      <c r="AP75" s="51" t="s">
        <v>412</v>
      </c>
      <c r="AQ75" s="59" t="s">
        <v>412</v>
      </c>
      <c r="AR75" s="59" t="s">
        <v>390</v>
      </c>
      <c r="AS75" s="59" t="s">
        <v>390</v>
      </c>
      <c r="AT75" s="57" t="s">
        <v>412</v>
      </c>
      <c r="AU75" s="51" t="s">
        <v>412</v>
      </c>
      <c r="AV75" s="51" t="s">
        <v>412</v>
      </c>
      <c r="AW75" s="51" t="s">
        <v>412</v>
      </c>
      <c r="AX75" s="51" t="s">
        <v>412</v>
      </c>
      <c r="AY75" s="51" t="s">
        <v>412</v>
      </c>
      <c r="AZ75" s="61" t="s">
        <v>412</v>
      </c>
      <c r="BA75" s="61">
        <v>6</v>
      </c>
      <c r="BB75" s="62">
        <v>0</v>
      </c>
      <c r="BC75" s="51" t="s">
        <v>412</v>
      </c>
      <c r="BD75" s="70" t="s">
        <v>412</v>
      </c>
      <c r="BE75" s="70" t="s">
        <v>412</v>
      </c>
      <c r="BF75" s="70" t="s">
        <v>412</v>
      </c>
      <c r="BG75" s="70" t="s">
        <v>412</v>
      </c>
      <c r="BH75" s="70" t="s">
        <v>412</v>
      </c>
      <c r="BI75" s="54" t="s">
        <v>412</v>
      </c>
      <c r="BJ75" s="54" t="s">
        <v>120</v>
      </c>
      <c r="BK75" s="54" t="s">
        <v>120</v>
      </c>
      <c r="BL75" s="57" t="s">
        <v>412</v>
      </c>
      <c r="BM75" s="51" t="s">
        <v>412</v>
      </c>
      <c r="BN75" s="51" t="s">
        <v>412</v>
      </c>
      <c r="BO75" s="51" t="s">
        <v>412</v>
      </c>
      <c r="BP75" s="51" t="s">
        <v>412</v>
      </c>
      <c r="BQ75" s="51" t="s">
        <v>412</v>
      </c>
      <c r="BR75" s="54" t="s">
        <v>412</v>
      </c>
      <c r="BS75" s="54" t="s">
        <v>392</v>
      </c>
      <c r="BT75" s="63" t="s">
        <v>392</v>
      </c>
      <c r="BU75" s="57" t="s">
        <v>412</v>
      </c>
      <c r="BV75" s="51" t="s">
        <v>412</v>
      </c>
      <c r="BW75" s="51" t="s">
        <v>412</v>
      </c>
      <c r="BX75" s="51" t="s">
        <v>412</v>
      </c>
      <c r="BY75" s="51" t="s">
        <v>412</v>
      </c>
      <c r="BZ75" s="51" t="s">
        <v>412</v>
      </c>
      <c r="CA75" s="54" t="s">
        <v>412</v>
      </c>
      <c r="CB75" s="54" t="s">
        <v>393</v>
      </c>
      <c r="CC75" s="54" t="s">
        <v>392</v>
      </c>
      <c r="CD75" s="57" t="s">
        <v>412</v>
      </c>
      <c r="CE75" s="51" t="s">
        <v>412</v>
      </c>
      <c r="CF75" s="51" t="s">
        <v>412</v>
      </c>
      <c r="CG75" s="51" t="s">
        <v>412</v>
      </c>
      <c r="CH75" s="51" t="s">
        <v>412</v>
      </c>
      <c r="CI75" s="51" t="s">
        <v>412</v>
      </c>
      <c r="CJ75" s="51" t="s">
        <v>412</v>
      </c>
      <c r="CK75" s="51" t="s">
        <v>412</v>
      </c>
      <c r="CL75" s="51" t="s">
        <v>394</v>
      </c>
      <c r="CM75" s="51" t="s">
        <v>394</v>
      </c>
      <c r="CN75" s="71" t="s">
        <v>412</v>
      </c>
      <c r="CO75" s="72" t="s">
        <v>412</v>
      </c>
      <c r="CP75" s="72" t="s">
        <v>412</v>
      </c>
      <c r="CQ75" s="72" t="s">
        <v>412</v>
      </c>
      <c r="CR75" s="72" t="s">
        <v>412</v>
      </c>
      <c r="CS75" s="72" t="s">
        <v>412</v>
      </c>
      <c r="CT75" s="51" t="s">
        <v>412</v>
      </c>
      <c r="CU75" s="51" t="s">
        <v>412</v>
      </c>
      <c r="CV75" s="51" t="s">
        <v>400</v>
      </c>
      <c r="CW75" s="57" t="s">
        <v>398</v>
      </c>
      <c r="CX75" s="51" t="s">
        <v>391</v>
      </c>
      <c r="CY75" s="51" t="s">
        <v>391</v>
      </c>
      <c r="CZ75" s="64" t="str">
        <f>IF(_xlfn.XLOOKUP(B75,[2]累计数据!$C$193:$C$245,[2]累计数据!$C$193:$C$245,"N")=B75,"Y","N")</f>
        <v>Y</v>
      </c>
      <c r="DA75" s="58">
        <v>0</v>
      </c>
      <c r="DB75" s="59">
        <v>0.02</v>
      </c>
      <c r="DC75" s="59">
        <v>0</v>
      </c>
      <c r="DD75" s="65"/>
      <c r="DE75" s="51"/>
      <c r="DF75" s="51"/>
      <c r="DG75" s="51"/>
      <c r="DH75" s="51"/>
      <c r="DI75" s="51"/>
      <c r="DJ75" s="51"/>
    </row>
    <row r="76" customFormat="1" ht="22.5" customHeight="1" spans="1:114">
      <c r="A76" s="46">
        <v>12541</v>
      </c>
      <c r="B76" s="47" t="s">
        <v>210</v>
      </c>
      <c r="C76" s="48">
        <v>46135</v>
      </c>
      <c r="D76" s="49">
        <f>IF(_xlfn.XLOOKUP(A76,[1]分配表!J:J,[1]分配表!M:M)=0,"未出单",_xlfn.XLOOKUP(A76,[1]分配表!J:J,[1]分配表!M:M))</f>
        <v>46140</v>
      </c>
      <c r="E76" s="50" t="str">
        <f>_xlfn.XLOOKUP(A76,[1]分配表!A:A,[1]分配表!C:C)</f>
        <v>胡煜星</v>
      </c>
      <c r="F76" s="50" t="s">
        <v>52</v>
      </c>
      <c r="G76" s="50" t="s">
        <v>34</v>
      </c>
      <c r="H76" s="51" t="s">
        <v>412</v>
      </c>
      <c r="I76" s="51" t="s">
        <v>412</v>
      </c>
      <c r="J76" s="51" t="s">
        <v>412</v>
      </c>
      <c r="K76" s="51" t="s">
        <v>412</v>
      </c>
      <c r="L76" s="51" t="s">
        <v>412</v>
      </c>
      <c r="M76" s="51" t="s">
        <v>412</v>
      </c>
      <c r="N76" s="51" t="s">
        <v>412</v>
      </c>
      <c r="O76" s="51">
        <v>1</v>
      </c>
      <c r="P76" s="51">
        <v>3</v>
      </c>
      <c r="Q76" s="52">
        <f t="shared" si="2"/>
        <v>2</v>
      </c>
      <c r="R76" s="57" t="s">
        <v>412</v>
      </c>
      <c r="S76" s="51" t="s">
        <v>412</v>
      </c>
      <c r="T76" s="51" t="s">
        <v>412</v>
      </c>
      <c r="U76" s="51" t="s">
        <v>412</v>
      </c>
      <c r="V76" s="51" t="s">
        <v>412</v>
      </c>
      <c r="W76" s="51" t="s">
        <v>412</v>
      </c>
      <c r="X76" s="54">
        <v>0</v>
      </c>
      <c r="Y76" s="55">
        <v>150</v>
      </c>
      <c r="Z76" s="56">
        <v>450</v>
      </c>
      <c r="AA76" s="54">
        <f t="shared" si="3"/>
        <v>300</v>
      </c>
      <c r="AB76" s="57" t="s">
        <v>412</v>
      </c>
      <c r="AC76" s="51" t="s">
        <v>412</v>
      </c>
      <c r="AD76" s="51" t="s">
        <v>412</v>
      </c>
      <c r="AE76" s="51" t="s">
        <v>412</v>
      </c>
      <c r="AF76" s="51" t="s">
        <v>412</v>
      </c>
      <c r="AG76" s="51" t="s">
        <v>412</v>
      </c>
      <c r="AH76" s="51" t="s">
        <v>412</v>
      </c>
      <c r="AI76" s="51">
        <v>2</v>
      </c>
      <c r="AJ76" s="51">
        <v>0</v>
      </c>
      <c r="AK76" s="57" t="s">
        <v>412</v>
      </c>
      <c r="AL76" s="51" t="s">
        <v>412</v>
      </c>
      <c r="AM76" s="51" t="s">
        <v>412</v>
      </c>
      <c r="AN76" s="51" t="s">
        <v>412</v>
      </c>
      <c r="AO76" s="51" t="s">
        <v>412</v>
      </c>
      <c r="AP76" s="51" t="s">
        <v>412</v>
      </c>
      <c r="AQ76" s="59" t="s">
        <v>412</v>
      </c>
      <c r="AR76" s="59">
        <v>0</v>
      </c>
      <c r="AS76" s="59">
        <v>1</v>
      </c>
      <c r="AT76" s="57" t="s">
        <v>412</v>
      </c>
      <c r="AU76" s="51" t="s">
        <v>412</v>
      </c>
      <c r="AV76" s="51" t="s">
        <v>412</v>
      </c>
      <c r="AW76" s="51" t="s">
        <v>412</v>
      </c>
      <c r="AX76" s="51" t="s">
        <v>412</v>
      </c>
      <c r="AY76" s="51" t="s">
        <v>412</v>
      </c>
      <c r="AZ76" s="61" t="s">
        <v>412</v>
      </c>
      <c r="BA76" s="61">
        <v>5</v>
      </c>
      <c r="BB76" s="62">
        <v>0</v>
      </c>
      <c r="BC76" s="51" t="s">
        <v>412</v>
      </c>
      <c r="BD76" s="70" t="s">
        <v>412</v>
      </c>
      <c r="BE76" s="70" t="s">
        <v>412</v>
      </c>
      <c r="BF76" s="70" t="s">
        <v>412</v>
      </c>
      <c r="BG76" s="70" t="s">
        <v>412</v>
      </c>
      <c r="BH76" s="70" t="s">
        <v>412</v>
      </c>
      <c r="BI76" s="54" t="s">
        <v>412</v>
      </c>
      <c r="BJ76" s="54" t="s">
        <v>391</v>
      </c>
      <c r="BK76" s="54" t="s">
        <v>391</v>
      </c>
      <c r="BL76" s="57" t="s">
        <v>412</v>
      </c>
      <c r="BM76" s="51" t="s">
        <v>412</v>
      </c>
      <c r="BN76" s="51" t="s">
        <v>412</v>
      </c>
      <c r="BO76" s="51" t="s">
        <v>412</v>
      </c>
      <c r="BP76" s="51" t="s">
        <v>412</v>
      </c>
      <c r="BQ76" s="51" t="s">
        <v>412</v>
      </c>
      <c r="BR76" s="54" t="s">
        <v>412</v>
      </c>
      <c r="BS76" s="54" t="s">
        <v>392</v>
      </c>
      <c r="BT76" s="63" t="s">
        <v>392</v>
      </c>
      <c r="BU76" s="57" t="s">
        <v>412</v>
      </c>
      <c r="BV76" s="51" t="s">
        <v>412</v>
      </c>
      <c r="BW76" s="51" t="s">
        <v>412</v>
      </c>
      <c r="BX76" s="51" t="s">
        <v>412</v>
      </c>
      <c r="BY76" s="51" t="s">
        <v>412</v>
      </c>
      <c r="BZ76" s="51" t="s">
        <v>412</v>
      </c>
      <c r="CA76" s="54" t="s">
        <v>412</v>
      </c>
      <c r="CB76" s="54" t="s">
        <v>393</v>
      </c>
      <c r="CC76" s="54" t="s">
        <v>392</v>
      </c>
      <c r="CD76" s="57" t="s">
        <v>412</v>
      </c>
      <c r="CE76" s="51" t="s">
        <v>412</v>
      </c>
      <c r="CF76" s="51" t="s">
        <v>412</v>
      </c>
      <c r="CG76" s="51" t="s">
        <v>412</v>
      </c>
      <c r="CH76" s="51" t="s">
        <v>412</v>
      </c>
      <c r="CI76" s="51" t="s">
        <v>412</v>
      </c>
      <c r="CJ76" s="51" t="s">
        <v>412</v>
      </c>
      <c r="CK76" s="51" t="s">
        <v>412</v>
      </c>
      <c r="CL76" s="51" t="s">
        <v>402</v>
      </c>
      <c r="CM76" s="51" t="s">
        <v>392</v>
      </c>
      <c r="CN76" s="71" t="s">
        <v>412</v>
      </c>
      <c r="CO76" s="72" t="s">
        <v>412</v>
      </c>
      <c r="CP76" s="72" t="s">
        <v>412</v>
      </c>
      <c r="CQ76" s="72" t="s">
        <v>412</v>
      </c>
      <c r="CR76" s="72" t="s">
        <v>412</v>
      </c>
      <c r="CS76" s="72" t="s">
        <v>412</v>
      </c>
      <c r="CT76" s="51" t="s">
        <v>412</v>
      </c>
      <c r="CU76" s="51" t="s">
        <v>412</v>
      </c>
      <c r="CV76" s="51" t="s">
        <v>403</v>
      </c>
      <c r="CW76" s="57" t="s">
        <v>398</v>
      </c>
      <c r="CX76" s="51" t="s">
        <v>391</v>
      </c>
      <c r="CY76" s="51" t="s">
        <v>391</v>
      </c>
      <c r="CZ76" s="64" t="str">
        <f>IF(_xlfn.XLOOKUP(B76,[2]累计数据!$C$193:$C$245,[2]累计数据!$C$193:$C$245,"N")=B76,"Y","N")</f>
        <v>N</v>
      </c>
      <c r="DA76" s="58">
        <v>0</v>
      </c>
      <c r="DB76" s="59">
        <v>0.02</v>
      </c>
      <c r="DC76" s="59">
        <v>0</v>
      </c>
      <c r="DD76" s="65"/>
      <c r="DE76" s="51"/>
      <c r="DF76" s="51"/>
      <c r="DG76" s="51"/>
      <c r="DH76" s="51"/>
      <c r="DI76" s="51"/>
      <c r="DJ76" s="51"/>
    </row>
    <row r="77" customFormat="1" ht="22.5" customHeight="1" spans="1:114">
      <c r="A77" s="46">
        <v>12542</v>
      </c>
      <c r="B77" s="47" t="s">
        <v>213</v>
      </c>
      <c r="C77" s="48">
        <v>46135</v>
      </c>
      <c r="D77" s="49" t="str">
        <f>IF(_xlfn.XLOOKUP(A77,[1]分配表!J:J,[1]分配表!M:M)=0,"未出单",_xlfn.XLOOKUP(A77,[1]分配表!J:J,[1]分配表!M:M))</f>
        <v>未出单</v>
      </c>
      <c r="E77" s="50" t="str">
        <f>_xlfn.XLOOKUP(A77,[1]分配表!A:A,[1]分配表!C:C)</f>
        <v>胡煜星</v>
      </c>
      <c r="F77" s="50" t="s">
        <v>52</v>
      </c>
      <c r="G77" s="50" t="s">
        <v>34</v>
      </c>
      <c r="H77" s="51" t="s">
        <v>412</v>
      </c>
      <c r="I77" s="51" t="s">
        <v>412</v>
      </c>
      <c r="J77" s="51" t="s">
        <v>412</v>
      </c>
      <c r="K77" s="51" t="s">
        <v>412</v>
      </c>
      <c r="L77" s="51" t="s">
        <v>412</v>
      </c>
      <c r="M77" s="51" t="s">
        <v>412</v>
      </c>
      <c r="N77" s="51" t="s">
        <v>412</v>
      </c>
      <c r="O77" s="51">
        <v>0</v>
      </c>
      <c r="P77" s="51">
        <v>0</v>
      </c>
      <c r="Q77" s="52">
        <f t="shared" si="2"/>
        <v>0</v>
      </c>
      <c r="R77" s="57" t="s">
        <v>412</v>
      </c>
      <c r="S77" s="51" t="s">
        <v>412</v>
      </c>
      <c r="T77" s="51" t="s">
        <v>412</v>
      </c>
      <c r="U77" s="51" t="s">
        <v>412</v>
      </c>
      <c r="V77" s="51" t="s">
        <v>412</v>
      </c>
      <c r="W77" s="51" t="s">
        <v>412</v>
      </c>
      <c r="X77" s="54">
        <v>0</v>
      </c>
      <c r="Y77" s="55">
        <v>0</v>
      </c>
      <c r="Z77" s="56">
        <v>0</v>
      </c>
      <c r="AA77" s="54">
        <f t="shared" si="3"/>
        <v>0</v>
      </c>
      <c r="AB77" s="57" t="s">
        <v>412</v>
      </c>
      <c r="AC77" s="51" t="s">
        <v>412</v>
      </c>
      <c r="AD77" s="51" t="s">
        <v>412</v>
      </c>
      <c r="AE77" s="51" t="s">
        <v>412</v>
      </c>
      <c r="AF77" s="51" t="s">
        <v>412</v>
      </c>
      <c r="AG77" s="51" t="s">
        <v>412</v>
      </c>
      <c r="AH77" s="51" t="s">
        <v>412</v>
      </c>
      <c r="AI77" s="51">
        <v>0</v>
      </c>
      <c r="AJ77" s="51">
        <v>0</v>
      </c>
      <c r="AK77" s="57" t="s">
        <v>412</v>
      </c>
      <c r="AL77" s="51" t="s">
        <v>412</v>
      </c>
      <c r="AM77" s="51" t="s">
        <v>412</v>
      </c>
      <c r="AN77" s="51" t="s">
        <v>412</v>
      </c>
      <c r="AO77" s="51" t="s">
        <v>412</v>
      </c>
      <c r="AP77" s="51" t="s">
        <v>412</v>
      </c>
      <c r="AQ77" s="59" t="s">
        <v>412</v>
      </c>
      <c r="AR77" s="59" t="s">
        <v>390</v>
      </c>
      <c r="AS77" s="59" t="s">
        <v>390</v>
      </c>
      <c r="AT77" s="57" t="s">
        <v>412</v>
      </c>
      <c r="AU77" s="51" t="s">
        <v>412</v>
      </c>
      <c r="AV77" s="51" t="s">
        <v>412</v>
      </c>
      <c r="AW77" s="51" t="s">
        <v>412</v>
      </c>
      <c r="AX77" s="51" t="s">
        <v>412</v>
      </c>
      <c r="AY77" s="51" t="s">
        <v>412</v>
      </c>
      <c r="AZ77" s="61" t="s">
        <v>412</v>
      </c>
      <c r="BA77" s="61">
        <v>5</v>
      </c>
      <c r="BB77" s="62">
        <v>0</v>
      </c>
      <c r="BC77" s="51" t="s">
        <v>412</v>
      </c>
      <c r="BD77" s="70" t="s">
        <v>412</v>
      </c>
      <c r="BE77" s="70" t="s">
        <v>412</v>
      </c>
      <c r="BF77" s="70" t="s">
        <v>412</v>
      </c>
      <c r="BG77" s="70" t="s">
        <v>412</v>
      </c>
      <c r="BH77" s="70" t="s">
        <v>412</v>
      </c>
      <c r="BI77" s="54" t="s">
        <v>412</v>
      </c>
      <c r="BJ77" s="54" t="s">
        <v>120</v>
      </c>
      <c r="BK77" s="54" t="s">
        <v>120</v>
      </c>
      <c r="BL77" s="57" t="s">
        <v>412</v>
      </c>
      <c r="BM77" s="51" t="s">
        <v>412</v>
      </c>
      <c r="BN77" s="51" t="s">
        <v>412</v>
      </c>
      <c r="BO77" s="51" t="s">
        <v>412</v>
      </c>
      <c r="BP77" s="51" t="s">
        <v>412</v>
      </c>
      <c r="BQ77" s="51" t="s">
        <v>412</v>
      </c>
      <c r="BR77" s="54" t="s">
        <v>412</v>
      </c>
      <c r="BS77" s="54" t="s">
        <v>392</v>
      </c>
      <c r="BT77" s="63" t="s">
        <v>392</v>
      </c>
      <c r="BU77" s="57" t="s">
        <v>412</v>
      </c>
      <c r="BV77" s="51" t="s">
        <v>412</v>
      </c>
      <c r="BW77" s="51" t="s">
        <v>412</v>
      </c>
      <c r="BX77" s="51" t="s">
        <v>412</v>
      </c>
      <c r="BY77" s="51" t="s">
        <v>412</v>
      </c>
      <c r="BZ77" s="51" t="s">
        <v>412</v>
      </c>
      <c r="CA77" s="54" t="s">
        <v>412</v>
      </c>
      <c r="CB77" s="54" t="s">
        <v>393</v>
      </c>
      <c r="CC77" s="54" t="s">
        <v>392</v>
      </c>
      <c r="CD77" s="57" t="s">
        <v>412</v>
      </c>
      <c r="CE77" s="51" t="s">
        <v>412</v>
      </c>
      <c r="CF77" s="51" t="s">
        <v>412</v>
      </c>
      <c r="CG77" s="51" t="s">
        <v>412</v>
      </c>
      <c r="CH77" s="51" t="s">
        <v>412</v>
      </c>
      <c r="CI77" s="51" t="s">
        <v>412</v>
      </c>
      <c r="CJ77" s="51" t="s">
        <v>412</v>
      </c>
      <c r="CK77" s="51" t="s">
        <v>412</v>
      </c>
      <c r="CL77" s="51" t="s">
        <v>394</v>
      </c>
      <c r="CM77" s="51" t="s">
        <v>394</v>
      </c>
      <c r="CN77" s="71" t="s">
        <v>412</v>
      </c>
      <c r="CO77" s="72" t="s">
        <v>412</v>
      </c>
      <c r="CP77" s="72" t="s">
        <v>412</v>
      </c>
      <c r="CQ77" s="72" t="s">
        <v>412</v>
      </c>
      <c r="CR77" s="72" t="s">
        <v>412</v>
      </c>
      <c r="CS77" s="72" t="s">
        <v>412</v>
      </c>
      <c r="CT77" s="51" t="s">
        <v>412</v>
      </c>
      <c r="CU77" s="51" t="s">
        <v>412</v>
      </c>
      <c r="CV77" s="51" t="s">
        <v>414</v>
      </c>
      <c r="CW77" s="57" t="s">
        <v>398</v>
      </c>
      <c r="CX77" s="51" t="s">
        <v>391</v>
      </c>
      <c r="CY77" s="51" t="s">
        <v>391</v>
      </c>
      <c r="CZ77" s="64" t="str">
        <f>IF(_xlfn.XLOOKUP(B77,[2]累计数据!$C$193:$C$245,[2]累计数据!$C$193:$C$245,"N")=B77,"Y","N")</f>
        <v>Y</v>
      </c>
      <c r="DA77" s="58">
        <v>0</v>
      </c>
      <c r="DB77" s="59">
        <v>0.02</v>
      </c>
      <c r="DC77" s="59">
        <v>0</v>
      </c>
      <c r="DD77" s="65"/>
      <c r="DE77" s="51"/>
      <c r="DF77" s="51"/>
      <c r="DG77" s="51"/>
      <c r="DH77" s="51"/>
      <c r="DI77" s="51"/>
      <c r="DJ77" s="51"/>
    </row>
    <row r="78" customFormat="1" ht="22.5" customHeight="1" spans="1:114">
      <c r="A78" s="46">
        <v>12543</v>
      </c>
      <c r="B78" s="47" t="s">
        <v>446</v>
      </c>
      <c r="C78" s="48">
        <v>46135</v>
      </c>
      <c r="D78" s="49">
        <f>IF(_xlfn.XLOOKUP(A78,[1]分配表!J:J,[1]分配表!M:M)=0,"未出单",_xlfn.XLOOKUP(A78,[1]分配表!J:J,[1]分配表!M:M))</f>
        <v>46144</v>
      </c>
      <c r="E78" s="50" t="str">
        <f>_xlfn.XLOOKUP(A78,[1]分配表!A:A,[1]分配表!C:C)</f>
        <v>胡煜星</v>
      </c>
      <c r="F78" s="50" t="s">
        <v>52</v>
      </c>
      <c r="G78" s="50" t="s">
        <v>34</v>
      </c>
      <c r="H78" s="51" t="s">
        <v>412</v>
      </c>
      <c r="I78" s="51" t="s">
        <v>412</v>
      </c>
      <c r="J78" s="51" t="s">
        <v>412</v>
      </c>
      <c r="K78" s="51" t="s">
        <v>412</v>
      </c>
      <c r="L78" s="51" t="s">
        <v>412</v>
      </c>
      <c r="M78" s="51" t="s">
        <v>412</v>
      </c>
      <c r="N78" s="51" t="s">
        <v>412</v>
      </c>
      <c r="O78" s="51">
        <v>0</v>
      </c>
      <c r="P78" s="51">
        <v>2</v>
      </c>
      <c r="Q78" s="52">
        <f t="shared" si="2"/>
        <v>2</v>
      </c>
      <c r="R78" s="57" t="s">
        <v>412</v>
      </c>
      <c r="S78" s="51" t="s">
        <v>412</v>
      </c>
      <c r="T78" s="51" t="s">
        <v>412</v>
      </c>
      <c r="U78" s="51" t="s">
        <v>412</v>
      </c>
      <c r="V78" s="51" t="s">
        <v>412</v>
      </c>
      <c r="W78" s="51" t="s">
        <v>412</v>
      </c>
      <c r="X78" s="54">
        <v>0</v>
      </c>
      <c r="Y78" s="55">
        <v>0</v>
      </c>
      <c r="Z78" s="56">
        <v>300</v>
      </c>
      <c r="AA78" s="54">
        <f t="shared" si="3"/>
        <v>300</v>
      </c>
      <c r="AB78" s="57" t="s">
        <v>412</v>
      </c>
      <c r="AC78" s="51" t="s">
        <v>412</v>
      </c>
      <c r="AD78" s="51" t="s">
        <v>412</v>
      </c>
      <c r="AE78" s="51" t="s">
        <v>412</v>
      </c>
      <c r="AF78" s="51" t="s">
        <v>412</v>
      </c>
      <c r="AG78" s="51" t="s">
        <v>412</v>
      </c>
      <c r="AH78" s="51" t="s">
        <v>412</v>
      </c>
      <c r="AI78" s="51">
        <v>0</v>
      </c>
      <c r="AJ78" s="51">
        <v>0</v>
      </c>
      <c r="AK78" s="57" t="s">
        <v>412</v>
      </c>
      <c r="AL78" s="51" t="s">
        <v>412</v>
      </c>
      <c r="AM78" s="51" t="s">
        <v>412</v>
      </c>
      <c r="AN78" s="51" t="s">
        <v>412</v>
      </c>
      <c r="AO78" s="51" t="s">
        <v>412</v>
      </c>
      <c r="AP78" s="51" t="s">
        <v>412</v>
      </c>
      <c r="AQ78" s="59" t="s">
        <v>412</v>
      </c>
      <c r="AR78" s="59" t="s">
        <v>390</v>
      </c>
      <c r="AS78" s="59">
        <v>1</v>
      </c>
      <c r="AT78" s="57" t="s">
        <v>412</v>
      </c>
      <c r="AU78" s="51" t="s">
        <v>412</v>
      </c>
      <c r="AV78" s="51" t="s">
        <v>412</v>
      </c>
      <c r="AW78" s="51" t="s">
        <v>412</v>
      </c>
      <c r="AX78" s="51" t="s">
        <v>412</v>
      </c>
      <c r="AY78" s="51" t="s">
        <v>412</v>
      </c>
      <c r="AZ78" s="61" t="s">
        <v>412</v>
      </c>
      <c r="BA78" s="61">
        <v>6</v>
      </c>
      <c r="BB78" s="62">
        <v>0</v>
      </c>
      <c r="BC78" s="51" t="s">
        <v>412</v>
      </c>
      <c r="BD78" s="70" t="s">
        <v>412</v>
      </c>
      <c r="BE78" s="70" t="s">
        <v>412</v>
      </c>
      <c r="BF78" s="70" t="s">
        <v>412</v>
      </c>
      <c r="BG78" s="70" t="s">
        <v>412</v>
      </c>
      <c r="BH78" s="70" t="s">
        <v>412</v>
      </c>
      <c r="BI78" s="54" t="s">
        <v>412</v>
      </c>
      <c r="BJ78" s="54" t="s">
        <v>120</v>
      </c>
      <c r="BK78" s="54" t="s">
        <v>398</v>
      </c>
      <c r="BL78" s="57" t="s">
        <v>412</v>
      </c>
      <c r="BM78" s="51" t="s">
        <v>412</v>
      </c>
      <c r="BN78" s="51" t="s">
        <v>412</v>
      </c>
      <c r="BO78" s="51" t="s">
        <v>412</v>
      </c>
      <c r="BP78" s="51" t="s">
        <v>412</v>
      </c>
      <c r="BQ78" s="51" t="s">
        <v>412</v>
      </c>
      <c r="BR78" s="54" t="s">
        <v>412</v>
      </c>
      <c r="BS78" s="54" t="s">
        <v>392</v>
      </c>
      <c r="BT78" s="63" t="s">
        <v>392</v>
      </c>
      <c r="BU78" s="57" t="s">
        <v>412</v>
      </c>
      <c r="BV78" s="51" t="s">
        <v>412</v>
      </c>
      <c r="BW78" s="51" t="s">
        <v>412</v>
      </c>
      <c r="BX78" s="51" t="s">
        <v>412</v>
      </c>
      <c r="BY78" s="51" t="s">
        <v>412</v>
      </c>
      <c r="BZ78" s="51" t="s">
        <v>412</v>
      </c>
      <c r="CA78" s="54" t="s">
        <v>412</v>
      </c>
      <c r="CB78" s="54" t="s">
        <v>393</v>
      </c>
      <c r="CC78" s="54" t="s">
        <v>392</v>
      </c>
      <c r="CD78" s="57" t="s">
        <v>412</v>
      </c>
      <c r="CE78" s="51" t="s">
        <v>412</v>
      </c>
      <c r="CF78" s="51" t="s">
        <v>412</v>
      </c>
      <c r="CG78" s="51" t="s">
        <v>412</v>
      </c>
      <c r="CH78" s="51" t="s">
        <v>412</v>
      </c>
      <c r="CI78" s="51" t="s">
        <v>412</v>
      </c>
      <c r="CJ78" s="51" t="s">
        <v>412</v>
      </c>
      <c r="CK78" s="51" t="s">
        <v>412</v>
      </c>
      <c r="CL78" s="51" t="s">
        <v>394</v>
      </c>
      <c r="CM78" s="51" t="s">
        <v>392</v>
      </c>
      <c r="CN78" s="71" t="s">
        <v>412</v>
      </c>
      <c r="CO78" s="72" t="s">
        <v>412</v>
      </c>
      <c r="CP78" s="72" t="s">
        <v>412</v>
      </c>
      <c r="CQ78" s="72" t="s">
        <v>412</v>
      </c>
      <c r="CR78" s="72" t="s">
        <v>412</v>
      </c>
      <c r="CS78" s="72" t="s">
        <v>412</v>
      </c>
      <c r="CT78" s="51" t="s">
        <v>412</v>
      </c>
      <c r="CU78" s="51" t="s">
        <v>412</v>
      </c>
      <c r="CV78" s="51" t="s">
        <v>403</v>
      </c>
      <c r="CW78" s="57" t="s">
        <v>398</v>
      </c>
      <c r="CX78" s="51" t="s">
        <v>398</v>
      </c>
      <c r="CY78" s="51" t="s">
        <v>398</v>
      </c>
      <c r="CZ78" s="64" t="str">
        <f>IF(_xlfn.XLOOKUP(B78,[2]累计数据!$C$193:$C$245,[2]累计数据!$C$193:$C$245,"N")=B78,"Y","N")</f>
        <v>N</v>
      </c>
      <c r="DA78" s="58">
        <v>0</v>
      </c>
      <c r="DB78" s="59">
        <v>0.02</v>
      </c>
      <c r="DC78" s="59">
        <v>0</v>
      </c>
      <c r="DD78" s="65"/>
      <c r="DE78" s="51"/>
      <c r="DF78" s="51"/>
      <c r="DG78" s="51"/>
      <c r="DH78" s="51"/>
      <c r="DI78" s="51"/>
      <c r="DJ78" s="51"/>
    </row>
    <row r="79" customFormat="1" ht="22.5" customHeight="1" spans="1:114">
      <c r="A79" s="46">
        <v>12544</v>
      </c>
      <c r="B79" s="47" t="s">
        <v>246</v>
      </c>
      <c r="C79" s="48">
        <v>46135</v>
      </c>
      <c r="D79" s="49">
        <f>IF(_xlfn.XLOOKUP(A79,[1]分配表!J:J,[1]分配表!M:M)=0,"未出单",_xlfn.XLOOKUP(A79,[1]分配表!J:J,[1]分配表!M:M))</f>
        <v>46142</v>
      </c>
      <c r="E79" s="50" t="str">
        <f>_xlfn.XLOOKUP(A79,[1]分配表!A:A,[1]分配表!C:C)</f>
        <v>张潇</v>
      </c>
      <c r="F79" s="50" t="s">
        <v>52</v>
      </c>
      <c r="G79" s="50" t="s">
        <v>34</v>
      </c>
      <c r="H79" s="51" t="s">
        <v>412</v>
      </c>
      <c r="I79" s="51" t="s">
        <v>412</v>
      </c>
      <c r="J79" s="51" t="s">
        <v>412</v>
      </c>
      <c r="K79" s="51" t="s">
        <v>412</v>
      </c>
      <c r="L79" s="51" t="s">
        <v>412</v>
      </c>
      <c r="M79" s="51" t="s">
        <v>412</v>
      </c>
      <c r="N79" s="51" t="s">
        <v>412</v>
      </c>
      <c r="O79" s="51">
        <v>0</v>
      </c>
      <c r="P79" s="51">
        <v>5</v>
      </c>
      <c r="Q79" s="52">
        <f t="shared" si="2"/>
        <v>5</v>
      </c>
      <c r="R79" s="57" t="s">
        <v>412</v>
      </c>
      <c r="S79" s="51" t="s">
        <v>412</v>
      </c>
      <c r="T79" s="51" t="s">
        <v>412</v>
      </c>
      <c r="U79" s="51" t="s">
        <v>412</v>
      </c>
      <c r="V79" s="51" t="s">
        <v>412</v>
      </c>
      <c r="W79" s="51" t="s">
        <v>412</v>
      </c>
      <c r="X79" s="54">
        <v>0</v>
      </c>
      <c r="Y79" s="55">
        <v>0</v>
      </c>
      <c r="Z79" s="56">
        <v>750</v>
      </c>
      <c r="AA79" s="54">
        <f t="shared" si="3"/>
        <v>750</v>
      </c>
      <c r="AB79" s="57" t="s">
        <v>412</v>
      </c>
      <c r="AC79" s="51" t="s">
        <v>412</v>
      </c>
      <c r="AD79" s="51" t="s">
        <v>412</v>
      </c>
      <c r="AE79" s="51" t="s">
        <v>412</v>
      </c>
      <c r="AF79" s="51" t="s">
        <v>412</v>
      </c>
      <c r="AG79" s="51" t="s">
        <v>412</v>
      </c>
      <c r="AH79" s="51" t="s">
        <v>412</v>
      </c>
      <c r="AI79" s="51">
        <v>0</v>
      </c>
      <c r="AJ79" s="51">
        <v>0</v>
      </c>
      <c r="AK79" s="57" t="s">
        <v>412</v>
      </c>
      <c r="AL79" s="51" t="s">
        <v>412</v>
      </c>
      <c r="AM79" s="51" t="s">
        <v>412</v>
      </c>
      <c r="AN79" s="51" t="s">
        <v>412</v>
      </c>
      <c r="AO79" s="51" t="s">
        <v>412</v>
      </c>
      <c r="AP79" s="51" t="s">
        <v>412</v>
      </c>
      <c r="AQ79" s="59" t="s">
        <v>412</v>
      </c>
      <c r="AR79" s="59" t="s">
        <v>390</v>
      </c>
      <c r="AS79" s="59">
        <v>1</v>
      </c>
      <c r="AT79" s="57" t="s">
        <v>412</v>
      </c>
      <c r="AU79" s="51" t="s">
        <v>412</v>
      </c>
      <c r="AV79" s="51" t="s">
        <v>412</v>
      </c>
      <c r="AW79" s="51" t="s">
        <v>412</v>
      </c>
      <c r="AX79" s="51" t="s">
        <v>412</v>
      </c>
      <c r="AY79" s="51" t="s">
        <v>412</v>
      </c>
      <c r="AZ79" s="61" t="s">
        <v>412</v>
      </c>
      <c r="BA79" s="61">
        <v>0</v>
      </c>
      <c r="BB79" s="62">
        <v>7</v>
      </c>
      <c r="BC79" s="51" t="s">
        <v>412</v>
      </c>
      <c r="BD79" s="70" t="s">
        <v>412</v>
      </c>
      <c r="BE79" s="70" t="s">
        <v>412</v>
      </c>
      <c r="BF79" s="70" t="s">
        <v>412</v>
      </c>
      <c r="BG79" s="70" t="s">
        <v>412</v>
      </c>
      <c r="BH79" s="70" t="s">
        <v>412</v>
      </c>
      <c r="BI79" s="54" t="s">
        <v>412</v>
      </c>
      <c r="BJ79" s="54" t="s">
        <v>120</v>
      </c>
      <c r="BK79" s="54" t="s">
        <v>391</v>
      </c>
      <c r="BL79" s="57" t="s">
        <v>412</v>
      </c>
      <c r="BM79" s="51" t="s">
        <v>412</v>
      </c>
      <c r="BN79" s="51" t="s">
        <v>412</v>
      </c>
      <c r="BO79" s="51" t="s">
        <v>412</v>
      </c>
      <c r="BP79" s="51" t="s">
        <v>412</v>
      </c>
      <c r="BQ79" s="51" t="s">
        <v>412</v>
      </c>
      <c r="BR79" s="54" t="s">
        <v>412</v>
      </c>
      <c r="BS79" s="54" t="s">
        <v>392</v>
      </c>
      <c r="BT79" s="63" t="s">
        <v>392</v>
      </c>
      <c r="BU79" s="57" t="s">
        <v>412</v>
      </c>
      <c r="BV79" s="51" t="s">
        <v>412</v>
      </c>
      <c r="BW79" s="51" t="s">
        <v>412</v>
      </c>
      <c r="BX79" s="51" t="s">
        <v>412</v>
      </c>
      <c r="BY79" s="51" t="s">
        <v>412</v>
      </c>
      <c r="BZ79" s="51" t="s">
        <v>412</v>
      </c>
      <c r="CA79" s="54" t="s">
        <v>412</v>
      </c>
      <c r="CB79" s="54" t="s">
        <v>392</v>
      </c>
      <c r="CC79" s="54" t="s">
        <v>392</v>
      </c>
      <c r="CD79" s="57" t="s">
        <v>412</v>
      </c>
      <c r="CE79" s="51" t="s">
        <v>412</v>
      </c>
      <c r="CF79" s="51" t="s">
        <v>412</v>
      </c>
      <c r="CG79" s="51" t="s">
        <v>412</v>
      </c>
      <c r="CH79" s="51" t="s">
        <v>412</v>
      </c>
      <c r="CI79" s="51" t="s">
        <v>412</v>
      </c>
      <c r="CJ79" s="51" t="s">
        <v>412</v>
      </c>
      <c r="CK79" s="51" t="s">
        <v>412</v>
      </c>
      <c r="CL79" s="51" t="s">
        <v>394</v>
      </c>
      <c r="CM79" s="51" t="s">
        <v>392</v>
      </c>
      <c r="CN79" s="71" t="s">
        <v>412</v>
      </c>
      <c r="CO79" s="72" t="s">
        <v>412</v>
      </c>
      <c r="CP79" s="72" t="s">
        <v>412</v>
      </c>
      <c r="CQ79" s="72" t="s">
        <v>412</v>
      </c>
      <c r="CR79" s="72" t="s">
        <v>412</v>
      </c>
      <c r="CS79" s="72" t="s">
        <v>412</v>
      </c>
      <c r="CT79" s="51" t="s">
        <v>412</v>
      </c>
      <c r="CU79" s="51" t="s">
        <v>412</v>
      </c>
      <c r="CV79" s="51" t="s">
        <v>396</v>
      </c>
      <c r="CW79" s="57" t="s">
        <v>398</v>
      </c>
      <c r="CX79" s="51" t="s">
        <v>398</v>
      </c>
      <c r="CY79" s="51" t="s">
        <v>391</v>
      </c>
      <c r="CZ79" s="64" t="str">
        <f>IF(_xlfn.XLOOKUP(B79,[2]累计数据!$C$193:$C$245,[2]累计数据!$C$193:$C$245,"N")=B79,"Y","N")</f>
        <v>Y</v>
      </c>
      <c r="DA79" s="58">
        <v>0</v>
      </c>
      <c r="DB79" s="59">
        <v>0.02</v>
      </c>
      <c r="DC79" s="59">
        <v>0</v>
      </c>
      <c r="DD79" s="65"/>
      <c r="DE79" s="51"/>
      <c r="DF79" s="51"/>
      <c r="DG79" s="51"/>
      <c r="DH79" s="51"/>
      <c r="DI79" s="51"/>
      <c r="DJ79" s="51"/>
    </row>
    <row r="80" customFormat="1" ht="22.5" customHeight="1" spans="1:114">
      <c r="A80" s="46">
        <v>12612</v>
      </c>
      <c r="B80" s="47" t="s">
        <v>249</v>
      </c>
      <c r="C80" s="48">
        <v>46140</v>
      </c>
      <c r="D80" s="49" t="str">
        <f>IF(_xlfn.XLOOKUP(A80,[1]分配表!J:J,[1]分配表!M:M)=0,"未出单",_xlfn.XLOOKUP(A80,[1]分配表!J:J,[1]分配表!M:M))</f>
        <v>未出单</v>
      </c>
      <c r="E80" s="50" t="str">
        <f>_xlfn.XLOOKUP(A80,[1]分配表!A:A,[1]分配表!C:C)</f>
        <v>章鹏</v>
      </c>
      <c r="F80" s="50" t="s">
        <v>97</v>
      </c>
      <c r="G80" s="50" t="s">
        <v>34</v>
      </c>
      <c r="H80" s="51" t="s">
        <v>412</v>
      </c>
      <c r="I80" s="51" t="s">
        <v>412</v>
      </c>
      <c r="J80" s="51" t="s">
        <v>412</v>
      </c>
      <c r="K80" s="51" t="s">
        <v>412</v>
      </c>
      <c r="L80" s="51" t="s">
        <v>412</v>
      </c>
      <c r="M80" s="51" t="s">
        <v>412</v>
      </c>
      <c r="N80" s="51" t="s">
        <v>412</v>
      </c>
      <c r="O80" s="51">
        <v>0</v>
      </c>
      <c r="P80" s="51">
        <v>0</v>
      </c>
      <c r="Q80" s="52">
        <f t="shared" si="2"/>
        <v>0</v>
      </c>
      <c r="R80" s="57"/>
      <c r="S80" s="51"/>
      <c r="T80" s="51"/>
      <c r="U80" s="51"/>
      <c r="V80" s="51"/>
      <c r="W80" s="51"/>
      <c r="X80" s="54"/>
      <c r="Y80" s="55">
        <v>0</v>
      </c>
      <c r="Z80" s="56">
        <v>0</v>
      </c>
      <c r="AA80" s="54">
        <f t="shared" si="3"/>
        <v>0</v>
      </c>
      <c r="AB80" s="57"/>
      <c r="AC80" s="51"/>
      <c r="AD80" s="51"/>
      <c r="AE80" s="51"/>
      <c r="AF80" s="51"/>
      <c r="AG80" s="51"/>
      <c r="AH80" s="51"/>
      <c r="AI80" s="51" t="e">
        <v>#N/A</v>
      </c>
      <c r="AJ80" s="51">
        <v>0</v>
      </c>
      <c r="AK80" s="57"/>
      <c r="AL80" s="51"/>
      <c r="AM80" s="51"/>
      <c r="AN80" s="51"/>
      <c r="AO80" s="51"/>
      <c r="AP80" s="51"/>
      <c r="AQ80" s="59"/>
      <c r="AR80" s="59" t="e">
        <v>#N/A</v>
      </c>
      <c r="AS80" s="59" t="s">
        <v>390</v>
      </c>
      <c r="AT80" s="57"/>
      <c r="AU80" s="51"/>
      <c r="AV80" s="51"/>
      <c r="AW80" s="51"/>
      <c r="AX80" s="51"/>
      <c r="AY80" s="51"/>
      <c r="AZ80" s="61"/>
      <c r="BA80" s="61">
        <v>0</v>
      </c>
      <c r="BB80" s="62">
        <v>7</v>
      </c>
      <c r="BC80" s="51"/>
      <c r="BD80" s="70"/>
      <c r="BE80" s="70"/>
      <c r="BF80" s="70"/>
      <c r="BG80" s="70"/>
      <c r="BH80" s="70"/>
      <c r="BI80" s="54"/>
      <c r="BJ80" s="54" t="s">
        <v>120</v>
      </c>
      <c r="BK80" s="54" t="s">
        <v>120</v>
      </c>
      <c r="BL80" s="57"/>
      <c r="BM80" s="51"/>
      <c r="BN80" s="51"/>
      <c r="BO80" s="51"/>
      <c r="BP80" s="51"/>
      <c r="BQ80" s="51"/>
      <c r="BR80" s="54"/>
      <c r="BS80" s="54" t="s">
        <v>392</v>
      </c>
      <c r="BT80" s="63" t="s">
        <v>392</v>
      </c>
      <c r="BU80" s="57"/>
      <c r="BV80" s="51"/>
      <c r="BW80" s="51"/>
      <c r="BX80" s="51"/>
      <c r="BY80" s="51"/>
      <c r="BZ80" s="51"/>
      <c r="CA80" s="54"/>
      <c r="CB80" s="54" t="s">
        <v>392</v>
      </c>
      <c r="CC80" s="54" t="s">
        <v>392</v>
      </c>
      <c r="CD80" s="57"/>
      <c r="CE80" s="51"/>
      <c r="CF80" s="51"/>
      <c r="CG80" s="51"/>
      <c r="CH80" s="51"/>
      <c r="CI80" s="51"/>
      <c r="CJ80" s="51"/>
      <c r="CK80" s="51"/>
      <c r="CL80" s="51" t="e">
        <v>#N/A</v>
      </c>
      <c r="CM80" s="51" t="s">
        <v>394</v>
      </c>
      <c r="CN80" s="71"/>
      <c r="CO80" s="72"/>
      <c r="CP80" s="72"/>
      <c r="CQ80" s="72"/>
      <c r="CR80" s="72"/>
      <c r="CS80" s="72"/>
      <c r="CT80" s="51"/>
      <c r="CU80" s="51" t="s">
        <v>412</v>
      </c>
      <c r="CV80" s="51" t="s">
        <v>396</v>
      </c>
      <c r="CW80" s="57"/>
      <c r="CX80" s="51"/>
      <c r="CY80" s="51" t="s">
        <v>391</v>
      </c>
      <c r="CZ80" s="64" t="str">
        <f>IF(_xlfn.XLOOKUP(B80,[2]累计数据!$C$193:$C$245,[2]累计数据!$C$193:$C$245,"N")=B80,"Y","N")</f>
        <v>Y</v>
      </c>
      <c r="DA80" s="57" t="s">
        <v>412</v>
      </c>
      <c r="DB80" s="59">
        <v>0</v>
      </c>
      <c r="DC80" s="59">
        <v>0</v>
      </c>
      <c r="DD80" s="65"/>
      <c r="DE80" s="51"/>
      <c r="DF80" s="51"/>
      <c r="DG80" s="51"/>
      <c r="DH80" s="51"/>
      <c r="DI80" s="51"/>
      <c r="DJ80" s="51"/>
    </row>
    <row r="81" customFormat="1" ht="22.5" customHeight="1" spans="1:114">
      <c r="A81" s="46">
        <v>12651</v>
      </c>
      <c r="B81" s="47" t="s">
        <v>228</v>
      </c>
      <c r="C81" s="48">
        <v>46140</v>
      </c>
      <c r="D81" s="49">
        <f>IF(_xlfn.XLOOKUP(A81,[1]分配表!J:J,[1]分配表!M:M)=0,"未出单",_xlfn.XLOOKUP(A81,[1]分配表!J:J,[1]分配表!M:M))</f>
        <v>46142</v>
      </c>
      <c r="E81" s="50" t="str">
        <f>_xlfn.XLOOKUP(A81,[1]分配表!A:A,[1]分配表!C:C)</f>
        <v>张潇</v>
      </c>
      <c r="F81" s="50" t="s">
        <v>33</v>
      </c>
      <c r="G81" s="50" t="s">
        <v>34</v>
      </c>
      <c r="H81" s="51" t="s">
        <v>412</v>
      </c>
      <c r="I81" s="51" t="s">
        <v>412</v>
      </c>
      <c r="J81" s="51" t="s">
        <v>412</v>
      </c>
      <c r="K81" s="51" t="s">
        <v>412</v>
      </c>
      <c r="L81" s="51" t="s">
        <v>412</v>
      </c>
      <c r="M81" s="51" t="s">
        <v>412</v>
      </c>
      <c r="N81" s="51" t="s">
        <v>412</v>
      </c>
      <c r="O81" s="51">
        <v>0</v>
      </c>
      <c r="P81" s="51">
        <v>3</v>
      </c>
      <c r="Q81" s="52">
        <f t="shared" si="2"/>
        <v>3</v>
      </c>
      <c r="R81" s="57"/>
      <c r="S81" s="51"/>
      <c r="T81" s="51"/>
      <c r="U81" s="51"/>
      <c r="V81" s="51"/>
      <c r="W81" s="51"/>
      <c r="X81" s="54"/>
      <c r="Y81" s="55">
        <v>0</v>
      </c>
      <c r="Z81" s="56">
        <v>267</v>
      </c>
      <c r="AA81" s="54">
        <f t="shared" si="3"/>
        <v>267</v>
      </c>
      <c r="AB81" s="57"/>
      <c r="AC81" s="51"/>
      <c r="AD81" s="51"/>
      <c r="AE81" s="51"/>
      <c r="AF81" s="51"/>
      <c r="AG81" s="51"/>
      <c r="AH81" s="51"/>
      <c r="AI81" s="51" t="e">
        <v>#N/A</v>
      </c>
      <c r="AJ81" s="51">
        <v>6</v>
      </c>
      <c r="AK81" s="57"/>
      <c r="AL81" s="51"/>
      <c r="AM81" s="51"/>
      <c r="AN81" s="51"/>
      <c r="AO81" s="51"/>
      <c r="AP81" s="51"/>
      <c r="AQ81" s="59"/>
      <c r="AR81" s="59" t="e">
        <v>#N/A</v>
      </c>
      <c r="AS81" s="59">
        <v>0.25</v>
      </c>
      <c r="AT81" s="57"/>
      <c r="AU81" s="51"/>
      <c r="AV81" s="51"/>
      <c r="AW81" s="51"/>
      <c r="AX81" s="51"/>
      <c r="AY81" s="51"/>
      <c r="AZ81" s="61"/>
      <c r="BA81" s="61">
        <v>0</v>
      </c>
      <c r="BB81" s="62">
        <v>0</v>
      </c>
      <c r="BC81" s="51"/>
      <c r="BD81" s="70"/>
      <c r="BE81" s="70"/>
      <c r="BF81" s="70"/>
      <c r="BG81" s="70"/>
      <c r="BH81" s="70"/>
      <c r="BI81" s="54"/>
      <c r="BJ81" s="54" t="s">
        <v>120</v>
      </c>
      <c r="BK81" s="54" t="s">
        <v>391</v>
      </c>
      <c r="BL81" s="57"/>
      <c r="BM81" s="51"/>
      <c r="BN81" s="51"/>
      <c r="BO81" s="51"/>
      <c r="BP81" s="51"/>
      <c r="BQ81" s="51"/>
      <c r="BR81" s="54"/>
      <c r="BS81" s="54" t="s">
        <v>392</v>
      </c>
      <c r="BT81" s="63" t="s">
        <v>392</v>
      </c>
      <c r="BU81" s="57"/>
      <c r="BV81" s="51"/>
      <c r="BW81" s="51"/>
      <c r="BX81" s="51"/>
      <c r="BY81" s="51"/>
      <c r="BZ81" s="51"/>
      <c r="CA81" s="54"/>
      <c r="CB81" s="54" t="s">
        <v>392</v>
      </c>
      <c r="CC81" s="54" t="s">
        <v>392</v>
      </c>
      <c r="CD81" s="57"/>
      <c r="CE81" s="51"/>
      <c r="CF81" s="51"/>
      <c r="CG81" s="51"/>
      <c r="CH81" s="51"/>
      <c r="CI81" s="51"/>
      <c r="CJ81" s="51"/>
      <c r="CK81" s="51"/>
      <c r="CL81" s="51" t="e">
        <v>#N/A</v>
      </c>
      <c r="CM81" s="51" t="s">
        <v>402</v>
      </c>
      <c r="CN81" s="71"/>
      <c r="CO81" s="72"/>
      <c r="CP81" s="72"/>
      <c r="CQ81" s="72"/>
      <c r="CR81" s="72"/>
      <c r="CS81" s="72"/>
      <c r="CT81" s="51"/>
      <c r="CU81" s="51" t="s">
        <v>412</v>
      </c>
      <c r="CV81" s="51" t="s">
        <v>396</v>
      </c>
      <c r="CW81" s="57"/>
      <c r="CX81" s="51"/>
      <c r="CY81" s="51" t="s">
        <v>391</v>
      </c>
      <c r="CZ81" s="64" t="str">
        <f>IF(_xlfn.XLOOKUP(B81,[2]累计数据!$C$193:$C$245,[2]累计数据!$C$193:$C$245,"N")=B81,"Y","N")</f>
        <v>Y</v>
      </c>
      <c r="DA81" s="57" t="s">
        <v>412</v>
      </c>
      <c r="DB81" s="59">
        <v>0</v>
      </c>
      <c r="DC81" s="59">
        <v>0</v>
      </c>
      <c r="DD81" s="65"/>
      <c r="DE81" s="51"/>
      <c r="DF81" s="51"/>
      <c r="DG81" s="51"/>
      <c r="DH81" s="51"/>
      <c r="DI81" s="51"/>
      <c r="DJ81" s="51"/>
    </row>
    <row r="82" customFormat="1" ht="22.5" customHeight="1" spans="1:114">
      <c r="A82" s="46">
        <v>12604</v>
      </c>
      <c r="B82" s="47" t="s">
        <v>255</v>
      </c>
      <c r="C82" s="48">
        <v>46141</v>
      </c>
      <c r="D82" s="49" t="str">
        <f>IF(_xlfn.XLOOKUP(A82,[1]分配表!J:J,[1]分配表!M:M)=0,"未出单",_xlfn.XLOOKUP(A82,[1]分配表!J:J,[1]分配表!M:M))</f>
        <v>未出单</v>
      </c>
      <c r="E82" s="50" t="str">
        <f>_xlfn.XLOOKUP(A82,[1]分配表!A:A,[1]分配表!C:C)</f>
        <v>王偲涵</v>
      </c>
      <c r="F82" s="50" t="s">
        <v>92</v>
      </c>
      <c r="G82" s="50" t="s">
        <v>34</v>
      </c>
      <c r="H82" s="51" t="s">
        <v>412</v>
      </c>
      <c r="I82" s="51" t="s">
        <v>412</v>
      </c>
      <c r="J82" s="51" t="s">
        <v>412</v>
      </c>
      <c r="K82" s="51" t="s">
        <v>412</v>
      </c>
      <c r="L82" s="51" t="s">
        <v>412</v>
      </c>
      <c r="M82" s="51" t="s">
        <v>412</v>
      </c>
      <c r="N82" s="51" t="s">
        <v>412</v>
      </c>
      <c r="O82" s="51">
        <v>0</v>
      </c>
      <c r="P82" s="51">
        <v>0</v>
      </c>
      <c r="Q82" s="52">
        <f t="shared" si="2"/>
        <v>0</v>
      </c>
      <c r="R82" s="57"/>
      <c r="S82" s="51"/>
      <c r="T82" s="51"/>
      <c r="U82" s="51"/>
      <c r="V82" s="51"/>
      <c r="W82" s="51"/>
      <c r="X82" s="54"/>
      <c r="Y82" s="55">
        <v>0</v>
      </c>
      <c r="Z82" s="56">
        <v>0</v>
      </c>
      <c r="AA82" s="54">
        <f t="shared" si="3"/>
        <v>0</v>
      </c>
      <c r="AB82" s="57"/>
      <c r="AC82" s="51"/>
      <c r="AD82" s="51"/>
      <c r="AE82" s="51"/>
      <c r="AF82" s="51"/>
      <c r="AG82" s="51"/>
      <c r="AH82" s="51"/>
      <c r="AI82" s="51" t="e">
        <v>#N/A</v>
      </c>
      <c r="AJ82" s="51">
        <v>0</v>
      </c>
      <c r="AK82" s="57"/>
      <c r="AL82" s="51"/>
      <c r="AM82" s="51"/>
      <c r="AN82" s="51"/>
      <c r="AO82" s="51"/>
      <c r="AP82" s="51"/>
      <c r="AQ82" s="59"/>
      <c r="AR82" s="59" t="e">
        <v>#N/A</v>
      </c>
      <c r="AS82" s="59" t="s">
        <v>390</v>
      </c>
      <c r="AT82" s="57"/>
      <c r="AU82" s="51"/>
      <c r="AV82" s="51"/>
      <c r="AW82" s="51"/>
      <c r="AX82" s="51"/>
      <c r="AY82" s="51"/>
      <c r="AZ82" s="61"/>
      <c r="BA82" s="61" t="s">
        <v>397</v>
      </c>
      <c r="BB82" s="62">
        <v>6</v>
      </c>
      <c r="BC82" s="51"/>
      <c r="BD82" s="70"/>
      <c r="BE82" s="70"/>
      <c r="BF82" s="70"/>
      <c r="BG82" s="70"/>
      <c r="BH82" s="70"/>
      <c r="BI82" s="54"/>
      <c r="BJ82" s="54" t="s">
        <v>120</v>
      </c>
      <c r="BK82" s="54" t="s">
        <v>120</v>
      </c>
      <c r="BL82" s="57"/>
      <c r="BM82" s="51"/>
      <c r="BN82" s="51"/>
      <c r="BO82" s="51"/>
      <c r="BP82" s="51"/>
      <c r="BQ82" s="51"/>
      <c r="BR82" s="54"/>
      <c r="BS82" s="54" t="s">
        <v>392</v>
      </c>
      <c r="BT82" s="63" t="s">
        <v>392</v>
      </c>
      <c r="BU82" s="57"/>
      <c r="BV82" s="51"/>
      <c r="BW82" s="51"/>
      <c r="BX82" s="51"/>
      <c r="BY82" s="51"/>
      <c r="BZ82" s="51"/>
      <c r="CA82" s="54"/>
      <c r="CB82" s="54" t="s">
        <v>393</v>
      </c>
      <c r="CC82" s="54" t="s">
        <v>393</v>
      </c>
      <c r="CD82" s="57"/>
      <c r="CE82" s="51"/>
      <c r="CF82" s="51"/>
      <c r="CG82" s="51"/>
      <c r="CH82" s="51"/>
      <c r="CI82" s="51"/>
      <c r="CJ82" s="51"/>
      <c r="CK82" s="51"/>
      <c r="CL82" s="51" t="e">
        <v>#N/A</v>
      </c>
      <c r="CM82" s="51" t="s">
        <v>394</v>
      </c>
      <c r="CN82" s="71"/>
      <c r="CO82" s="72"/>
      <c r="CP82" s="72"/>
      <c r="CQ82" s="72"/>
      <c r="CR82" s="72"/>
      <c r="CS82" s="72"/>
      <c r="CT82" s="51"/>
      <c r="CU82" s="51" t="s">
        <v>412</v>
      </c>
      <c r="CV82" s="51" t="s">
        <v>395</v>
      </c>
      <c r="CW82" s="57"/>
      <c r="CX82" s="51"/>
      <c r="CY82" s="51" t="s">
        <v>391</v>
      </c>
      <c r="CZ82" s="64" t="str">
        <f>IF(_xlfn.XLOOKUP(B82,[2]累计数据!$C$193:$C$245,[2]累计数据!$C$193:$C$245,"N")=B82,"Y","N")</f>
        <v>Y</v>
      </c>
      <c r="DA82" s="57" t="s">
        <v>412</v>
      </c>
      <c r="DB82" s="59">
        <v>0</v>
      </c>
      <c r="DC82" s="59">
        <v>0</v>
      </c>
      <c r="DD82" s="65"/>
      <c r="DE82" s="51"/>
      <c r="DF82" s="51"/>
      <c r="DG82" s="51"/>
      <c r="DH82" s="51"/>
      <c r="DI82" s="51"/>
      <c r="DJ82" s="51"/>
    </row>
    <row r="83" customFormat="1" ht="22.5" customHeight="1" spans="1:114">
      <c r="A83" s="46">
        <v>12526</v>
      </c>
      <c r="B83" s="47" t="s">
        <v>258</v>
      </c>
      <c r="C83" s="48">
        <v>46141</v>
      </c>
      <c r="D83" s="49" t="str">
        <f>IF(_xlfn.XLOOKUP(A83,[1]分配表!J:J,[1]分配表!M:M)=0,"未出单",_xlfn.XLOOKUP(A83,[1]分配表!J:J,[1]分配表!M:M))</f>
        <v>未出单</v>
      </c>
      <c r="E83" s="50" t="str">
        <f>_xlfn.XLOOKUP(A83,[1]分配表!A:A,[1]分配表!C:C)</f>
        <v>王偲涵</v>
      </c>
      <c r="F83" s="50" t="s">
        <v>92</v>
      </c>
      <c r="G83" s="50" t="s">
        <v>34</v>
      </c>
      <c r="H83" s="51" t="s">
        <v>412</v>
      </c>
      <c r="I83" s="51" t="s">
        <v>412</v>
      </c>
      <c r="J83" s="51" t="s">
        <v>412</v>
      </c>
      <c r="K83" s="51" t="s">
        <v>412</v>
      </c>
      <c r="L83" s="51" t="s">
        <v>412</v>
      </c>
      <c r="M83" s="51" t="s">
        <v>412</v>
      </c>
      <c r="N83" s="51" t="s">
        <v>412</v>
      </c>
      <c r="O83" s="51">
        <v>0</v>
      </c>
      <c r="P83" s="51">
        <v>0</v>
      </c>
      <c r="Q83" s="52">
        <f t="shared" si="2"/>
        <v>0</v>
      </c>
      <c r="R83" s="57"/>
      <c r="S83" s="51"/>
      <c r="T83" s="51"/>
      <c r="U83" s="51"/>
      <c r="V83" s="51"/>
      <c r="W83" s="51"/>
      <c r="X83" s="54"/>
      <c r="Y83" s="55">
        <v>0</v>
      </c>
      <c r="Z83" s="56">
        <v>0</v>
      </c>
      <c r="AA83" s="54">
        <f t="shared" si="3"/>
        <v>0</v>
      </c>
      <c r="AB83" s="57"/>
      <c r="AC83" s="51"/>
      <c r="AD83" s="51"/>
      <c r="AE83" s="51"/>
      <c r="AF83" s="51"/>
      <c r="AG83" s="51"/>
      <c r="AH83" s="51"/>
      <c r="AI83" s="51" t="e">
        <v>#N/A</v>
      </c>
      <c r="AJ83" s="51">
        <v>0</v>
      </c>
      <c r="AK83" s="57"/>
      <c r="AL83" s="51"/>
      <c r="AM83" s="51"/>
      <c r="AN83" s="51"/>
      <c r="AO83" s="51"/>
      <c r="AP83" s="51"/>
      <c r="AQ83" s="59"/>
      <c r="AR83" s="59" t="e">
        <v>#N/A</v>
      </c>
      <c r="AS83" s="59" t="s">
        <v>390</v>
      </c>
      <c r="AT83" s="57"/>
      <c r="AU83" s="51"/>
      <c r="AV83" s="51"/>
      <c r="AW83" s="51"/>
      <c r="AX83" s="51"/>
      <c r="AY83" s="51"/>
      <c r="AZ83" s="61"/>
      <c r="BA83" s="61" t="s">
        <v>397</v>
      </c>
      <c r="BB83" s="62">
        <v>6</v>
      </c>
      <c r="BC83" s="51"/>
      <c r="BD83" s="70"/>
      <c r="BE83" s="70"/>
      <c r="BF83" s="70"/>
      <c r="BG83" s="70"/>
      <c r="BH83" s="70"/>
      <c r="BI83" s="54"/>
      <c r="BJ83" s="54" t="s">
        <v>120</v>
      </c>
      <c r="BK83" s="54" t="s">
        <v>120</v>
      </c>
      <c r="BL83" s="57"/>
      <c r="BM83" s="51"/>
      <c r="BN83" s="51"/>
      <c r="BO83" s="51"/>
      <c r="BP83" s="51"/>
      <c r="BQ83" s="51"/>
      <c r="BR83" s="54"/>
      <c r="BS83" s="54" t="s">
        <v>392</v>
      </c>
      <c r="BT83" s="63" t="s">
        <v>392</v>
      </c>
      <c r="BU83" s="57"/>
      <c r="BV83" s="51"/>
      <c r="BW83" s="51"/>
      <c r="BX83" s="51"/>
      <c r="BY83" s="51"/>
      <c r="BZ83" s="51"/>
      <c r="CA83" s="54"/>
      <c r="CB83" s="54" t="s">
        <v>393</v>
      </c>
      <c r="CC83" s="54" t="s">
        <v>393</v>
      </c>
      <c r="CD83" s="57"/>
      <c r="CE83" s="51"/>
      <c r="CF83" s="51"/>
      <c r="CG83" s="51"/>
      <c r="CH83" s="51"/>
      <c r="CI83" s="51"/>
      <c r="CJ83" s="51"/>
      <c r="CK83" s="51"/>
      <c r="CL83" s="51" t="e">
        <v>#N/A</v>
      </c>
      <c r="CM83" s="51" t="s">
        <v>394</v>
      </c>
      <c r="CN83" s="71"/>
      <c r="CO83" s="72"/>
      <c r="CP83" s="72"/>
      <c r="CQ83" s="72"/>
      <c r="CR83" s="72"/>
      <c r="CS83" s="72"/>
      <c r="CT83" s="51"/>
      <c r="CU83" s="51" t="s">
        <v>412</v>
      </c>
      <c r="CV83" s="51" t="s">
        <v>395</v>
      </c>
      <c r="CW83" s="57"/>
      <c r="CX83" s="51"/>
      <c r="CY83" s="51" t="s">
        <v>391</v>
      </c>
      <c r="CZ83" s="64" t="str">
        <f>IF(_xlfn.XLOOKUP(B83,[2]累计数据!$C$193:$C$245,[2]累计数据!$C$193:$C$245,"N")=B83,"Y","N")</f>
        <v>Y</v>
      </c>
      <c r="DA83" s="57" t="s">
        <v>412</v>
      </c>
      <c r="DB83" s="59">
        <v>0</v>
      </c>
      <c r="DC83" s="59">
        <v>0</v>
      </c>
      <c r="DD83" s="65"/>
      <c r="DE83" s="51"/>
      <c r="DF83" s="51"/>
      <c r="DG83" s="51"/>
      <c r="DH83" s="51"/>
      <c r="DI83" s="51"/>
      <c r="DJ83" s="51"/>
    </row>
    <row r="84" customFormat="1" ht="22.5" customHeight="1" spans="1:114">
      <c r="A84" s="46">
        <v>12590</v>
      </c>
      <c r="B84" s="47" t="s">
        <v>261</v>
      </c>
      <c r="C84" s="48">
        <v>46141</v>
      </c>
      <c r="D84" s="49">
        <f>IF(_xlfn.XLOOKUP(A84,[1]分配表!J:J,[1]分配表!M:M)=0,"未出单",_xlfn.XLOOKUP(A84,[1]分配表!J:J,[1]分配表!M:M))</f>
        <v>46143</v>
      </c>
      <c r="E84" s="50" t="str">
        <f>_xlfn.XLOOKUP(A84,[1]分配表!A:A,[1]分配表!C:C)</f>
        <v>王偲涵</v>
      </c>
      <c r="F84" s="50" t="s">
        <v>92</v>
      </c>
      <c r="G84" s="50" t="s">
        <v>34</v>
      </c>
      <c r="H84" s="51" t="s">
        <v>412</v>
      </c>
      <c r="I84" s="51" t="s">
        <v>412</v>
      </c>
      <c r="J84" s="51" t="s">
        <v>412</v>
      </c>
      <c r="K84" s="51" t="s">
        <v>412</v>
      </c>
      <c r="L84" s="51" t="s">
        <v>412</v>
      </c>
      <c r="M84" s="51" t="s">
        <v>412</v>
      </c>
      <c r="N84" s="51" t="s">
        <v>412</v>
      </c>
      <c r="O84" s="51">
        <v>0</v>
      </c>
      <c r="P84" s="51">
        <v>1</v>
      </c>
      <c r="Q84" s="52">
        <f t="shared" si="2"/>
        <v>1</v>
      </c>
      <c r="R84" s="57"/>
      <c r="S84" s="51"/>
      <c r="T84" s="51"/>
      <c r="U84" s="51"/>
      <c r="V84" s="51"/>
      <c r="W84" s="51"/>
      <c r="X84" s="54"/>
      <c r="Y84" s="55">
        <v>0</v>
      </c>
      <c r="Z84" s="56">
        <v>125</v>
      </c>
      <c r="AA84" s="54">
        <f t="shared" si="3"/>
        <v>125</v>
      </c>
      <c r="AB84" s="57"/>
      <c r="AC84" s="51"/>
      <c r="AD84" s="51"/>
      <c r="AE84" s="51"/>
      <c r="AF84" s="51"/>
      <c r="AG84" s="51"/>
      <c r="AH84" s="51"/>
      <c r="AI84" s="51" t="e">
        <v>#N/A</v>
      </c>
      <c r="AJ84" s="51">
        <v>4</v>
      </c>
      <c r="AK84" s="57"/>
      <c r="AL84" s="51"/>
      <c r="AM84" s="51"/>
      <c r="AN84" s="51"/>
      <c r="AO84" s="51"/>
      <c r="AP84" s="51"/>
      <c r="AQ84" s="59"/>
      <c r="AR84" s="59" t="e">
        <v>#N/A</v>
      </c>
      <c r="AS84" s="59">
        <v>0.2</v>
      </c>
      <c r="AT84" s="57"/>
      <c r="AU84" s="51"/>
      <c r="AV84" s="51"/>
      <c r="AW84" s="51"/>
      <c r="AX84" s="51"/>
      <c r="AY84" s="51"/>
      <c r="AZ84" s="61"/>
      <c r="BA84" s="61" t="s">
        <v>397</v>
      </c>
      <c r="BB84" s="62">
        <v>6</v>
      </c>
      <c r="BC84" s="51"/>
      <c r="BD84" s="70"/>
      <c r="BE84" s="70"/>
      <c r="BF84" s="70"/>
      <c r="BG84" s="70"/>
      <c r="BH84" s="70"/>
      <c r="BI84" s="54"/>
      <c r="BJ84" s="54" t="s">
        <v>120</v>
      </c>
      <c r="BK84" s="54" t="s">
        <v>391</v>
      </c>
      <c r="BL84" s="57"/>
      <c r="BM84" s="51"/>
      <c r="BN84" s="51"/>
      <c r="BO84" s="51"/>
      <c r="BP84" s="51"/>
      <c r="BQ84" s="51"/>
      <c r="BR84" s="54"/>
      <c r="BS84" s="54" t="s">
        <v>392</v>
      </c>
      <c r="BT84" s="63" t="s">
        <v>392</v>
      </c>
      <c r="BU84" s="57"/>
      <c r="BV84" s="51"/>
      <c r="BW84" s="51"/>
      <c r="BX84" s="51"/>
      <c r="BY84" s="51"/>
      <c r="BZ84" s="51"/>
      <c r="CA84" s="54"/>
      <c r="CB84" s="54" t="s">
        <v>393</v>
      </c>
      <c r="CC84" s="54" t="s">
        <v>393</v>
      </c>
      <c r="CD84" s="57"/>
      <c r="CE84" s="51"/>
      <c r="CF84" s="51"/>
      <c r="CG84" s="51"/>
      <c r="CH84" s="51"/>
      <c r="CI84" s="51"/>
      <c r="CJ84" s="51"/>
      <c r="CK84" s="51"/>
      <c r="CL84" s="51" t="e">
        <v>#N/A</v>
      </c>
      <c r="CM84" s="51" t="s">
        <v>402</v>
      </c>
      <c r="CN84" s="71"/>
      <c r="CO84" s="72"/>
      <c r="CP84" s="72"/>
      <c r="CQ84" s="72"/>
      <c r="CR84" s="72"/>
      <c r="CS84" s="72"/>
      <c r="CT84" s="51"/>
      <c r="CU84" s="51" t="s">
        <v>412</v>
      </c>
      <c r="CV84" s="51" t="s">
        <v>395</v>
      </c>
      <c r="CW84" s="57"/>
      <c r="CX84" s="51"/>
      <c r="CY84" s="51" t="s">
        <v>391</v>
      </c>
      <c r="CZ84" s="64" t="str">
        <f>IF(_xlfn.XLOOKUP(B84,[2]累计数据!$C$193:$C$245,[2]累计数据!$C$193:$C$245,"N")=B84,"Y","N")</f>
        <v>N</v>
      </c>
      <c r="DA84" s="57" t="s">
        <v>412</v>
      </c>
      <c r="DB84" s="59">
        <v>0</v>
      </c>
      <c r="DC84" s="59">
        <v>0</v>
      </c>
      <c r="DD84" s="65"/>
      <c r="DE84" s="51"/>
      <c r="DF84" s="51"/>
      <c r="DG84" s="51"/>
      <c r="DH84" s="51"/>
      <c r="DI84" s="51"/>
      <c r="DJ84" s="51"/>
    </row>
    <row r="85" customFormat="1" ht="22.5" customHeight="1" spans="1:114">
      <c r="A85" s="46">
        <v>12586</v>
      </c>
      <c r="B85" s="47" t="s">
        <v>234</v>
      </c>
      <c r="C85" s="48">
        <v>46141</v>
      </c>
      <c r="D85" s="49">
        <f>IF(_xlfn.XLOOKUP(A85,[1]分配表!J:J,[1]分配表!M:M)=0,"未出单",_xlfn.XLOOKUP(A85,[1]分配表!J:J,[1]分配表!M:M))</f>
        <v>46142</v>
      </c>
      <c r="E85" s="50" t="str">
        <f>_xlfn.XLOOKUP(A85,[1]分配表!A:A,[1]分配表!C:C)</f>
        <v>朱培源</v>
      </c>
      <c r="F85" s="50" t="s">
        <v>33</v>
      </c>
      <c r="G85" s="50" t="s">
        <v>34</v>
      </c>
      <c r="H85" s="51" t="s">
        <v>412</v>
      </c>
      <c r="I85" s="51" t="s">
        <v>412</v>
      </c>
      <c r="J85" s="51" t="s">
        <v>412</v>
      </c>
      <c r="K85" s="51" t="s">
        <v>412</v>
      </c>
      <c r="L85" s="51" t="s">
        <v>412</v>
      </c>
      <c r="M85" s="51" t="s">
        <v>412</v>
      </c>
      <c r="N85" s="51" t="s">
        <v>412</v>
      </c>
      <c r="O85" s="51">
        <v>0</v>
      </c>
      <c r="P85" s="51">
        <v>2</v>
      </c>
      <c r="Q85" s="52">
        <f t="shared" si="2"/>
        <v>2</v>
      </c>
      <c r="R85" s="57"/>
      <c r="S85" s="51"/>
      <c r="T85" s="51"/>
      <c r="U85" s="51"/>
      <c r="V85" s="51"/>
      <c r="W85" s="51"/>
      <c r="X85" s="54"/>
      <c r="Y85" s="55">
        <v>0</v>
      </c>
      <c r="Z85" s="56">
        <v>140</v>
      </c>
      <c r="AA85" s="54">
        <f t="shared" si="3"/>
        <v>140</v>
      </c>
      <c r="AB85" s="57"/>
      <c r="AC85" s="51"/>
      <c r="AD85" s="51"/>
      <c r="AE85" s="51"/>
      <c r="AF85" s="51"/>
      <c r="AG85" s="51"/>
      <c r="AH85" s="51"/>
      <c r="AI85" s="51" t="e">
        <v>#N/A</v>
      </c>
      <c r="AJ85" s="51">
        <v>2</v>
      </c>
      <c r="AK85" s="57"/>
      <c r="AL85" s="51"/>
      <c r="AM85" s="51"/>
      <c r="AN85" s="51"/>
      <c r="AO85" s="51"/>
      <c r="AP85" s="51"/>
      <c r="AQ85" s="59"/>
      <c r="AR85" s="59" t="e">
        <v>#N/A</v>
      </c>
      <c r="AS85" s="59">
        <v>0.3333</v>
      </c>
      <c r="AT85" s="57"/>
      <c r="AU85" s="51"/>
      <c r="AV85" s="51"/>
      <c r="AW85" s="51"/>
      <c r="AX85" s="51"/>
      <c r="AY85" s="51"/>
      <c r="AZ85" s="61"/>
      <c r="BA85" s="61">
        <v>0</v>
      </c>
      <c r="BB85" s="62">
        <v>7</v>
      </c>
      <c r="BC85" s="51"/>
      <c r="BD85" s="70"/>
      <c r="BE85" s="70"/>
      <c r="BF85" s="70"/>
      <c r="BG85" s="70"/>
      <c r="BH85" s="70"/>
      <c r="BI85" s="54"/>
      <c r="BJ85" s="54" t="s">
        <v>120</v>
      </c>
      <c r="BK85" s="54" t="s">
        <v>391</v>
      </c>
      <c r="BL85" s="57"/>
      <c r="BM85" s="51"/>
      <c r="BN85" s="51"/>
      <c r="BO85" s="51"/>
      <c r="BP85" s="51"/>
      <c r="BQ85" s="51"/>
      <c r="BR85" s="54"/>
      <c r="BS85" s="54" t="s">
        <v>392</v>
      </c>
      <c r="BT85" s="63" t="s">
        <v>393</v>
      </c>
      <c r="BU85" s="57"/>
      <c r="BV85" s="51"/>
      <c r="BW85" s="51"/>
      <c r="BX85" s="51"/>
      <c r="BY85" s="51"/>
      <c r="BZ85" s="51"/>
      <c r="CA85" s="54"/>
      <c r="CB85" s="54" t="s">
        <v>392</v>
      </c>
      <c r="CC85" s="54" t="s">
        <v>393</v>
      </c>
      <c r="CD85" s="57"/>
      <c r="CE85" s="51"/>
      <c r="CF85" s="51"/>
      <c r="CG85" s="51"/>
      <c r="CH85" s="51"/>
      <c r="CI85" s="51"/>
      <c r="CJ85" s="51"/>
      <c r="CK85" s="51"/>
      <c r="CL85" s="51" t="e">
        <v>#N/A</v>
      </c>
      <c r="CM85" s="51" t="s">
        <v>402</v>
      </c>
      <c r="CN85" s="71"/>
      <c r="CO85" s="72"/>
      <c r="CP85" s="72"/>
      <c r="CQ85" s="72"/>
      <c r="CR85" s="72"/>
      <c r="CS85" s="72"/>
      <c r="CT85" s="51"/>
      <c r="CU85" s="51" t="s">
        <v>412</v>
      </c>
      <c r="CV85" s="51" t="s">
        <v>396</v>
      </c>
      <c r="CW85" s="57"/>
      <c r="CX85" s="51"/>
      <c r="CY85" s="51" t="s">
        <v>391</v>
      </c>
      <c r="CZ85" s="64" t="str">
        <f>IF(_xlfn.XLOOKUP(B85,[2]累计数据!$C$193:$C$245,[2]累计数据!$C$193:$C$245,"N")=B85,"Y","N")</f>
        <v>Y</v>
      </c>
      <c r="DA85" s="57" t="s">
        <v>412</v>
      </c>
      <c r="DB85" s="59">
        <v>0</v>
      </c>
      <c r="DC85" s="59">
        <v>0</v>
      </c>
      <c r="DD85" s="65"/>
      <c r="DE85" s="51"/>
      <c r="DF85" s="51"/>
      <c r="DG85" s="51"/>
      <c r="DH85" s="51"/>
      <c r="DI85" s="51"/>
      <c r="DJ85" s="51"/>
    </row>
    <row r="86" customFormat="1" ht="22.5" customHeight="1" spans="1:114">
      <c r="A86" s="46">
        <v>12615</v>
      </c>
      <c r="B86" s="47" t="s">
        <v>447</v>
      </c>
      <c r="C86" s="48">
        <v>46141</v>
      </c>
      <c r="D86" s="49">
        <f>IF(_xlfn.XLOOKUP(A86,[1]分配表!J:J,[1]分配表!M:M)=0,"未出单",_xlfn.XLOOKUP(A86,[1]分配表!J:J,[1]分配表!M:M))</f>
        <v>46150</v>
      </c>
      <c r="E86" s="50" t="str">
        <f>_xlfn.XLOOKUP(A86,[1]分配表!A:A,[1]分配表!C:C)</f>
        <v>王偲涵</v>
      </c>
      <c r="F86" s="50" t="s">
        <v>52</v>
      </c>
      <c r="G86" s="50" t="s">
        <v>34</v>
      </c>
      <c r="H86" s="51" t="s">
        <v>412</v>
      </c>
      <c r="I86" s="51" t="s">
        <v>412</v>
      </c>
      <c r="J86" s="51" t="s">
        <v>412</v>
      </c>
      <c r="K86" s="51" t="s">
        <v>412</v>
      </c>
      <c r="L86" s="51" t="s">
        <v>412</v>
      </c>
      <c r="M86" s="51" t="s">
        <v>412</v>
      </c>
      <c r="N86" s="51" t="s">
        <v>412</v>
      </c>
      <c r="O86" s="51">
        <v>0</v>
      </c>
      <c r="P86" s="51">
        <v>0</v>
      </c>
      <c r="Q86" s="52">
        <f t="shared" si="2"/>
        <v>0</v>
      </c>
      <c r="R86" s="57"/>
      <c r="S86" s="51"/>
      <c r="T86" s="51"/>
      <c r="U86" s="51"/>
      <c r="V86" s="51"/>
      <c r="W86" s="51"/>
      <c r="X86" s="54"/>
      <c r="Y86" s="55">
        <v>0</v>
      </c>
      <c r="Z86" s="56">
        <v>0</v>
      </c>
      <c r="AA86" s="54">
        <f t="shared" si="3"/>
        <v>0</v>
      </c>
      <c r="AB86" s="57"/>
      <c r="AC86" s="51"/>
      <c r="AD86" s="51"/>
      <c r="AE86" s="51"/>
      <c r="AF86" s="51"/>
      <c r="AG86" s="51"/>
      <c r="AH86" s="51"/>
      <c r="AI86" s="51" t="e">
        <v>#N/A</v>
      </c>
      <c r="AJ86" s="51">
        <v>1</v>
      </c>
      <c r="AK86" s="57"/>
      <c r="AL86" s="51"/>
      <c r="AM86" s="51"/>
      <c r="AN86" s="51"/>
      <c r="AO86" s="51"/>
      <c r="AP86" s="51"/>
      <c r="AQ86" s="59"/>
      <c r="AR86" s="59" t="e">
        <v>#N/A</v>
      </c>
      <c r="AS86" s="59">
        <v>0</v>
      </c>
      <c r="AT86" s="57"/>
      <c r="AU86" s="51"/>
      <c r="AV86" s="51"/>
      <c r="AW86" s="51"/>
      <c r="AX86" s="51"/>
      <c r="AY86" s="51"/>
      <c r="AZ86" s="61"/>
      <c r="BA86" s="61" t="s">
        <v>397</v>
      </c>
      <c r="BB86" s="62">
        <v>6</v>
      </c>
      <c r="BC86" s="51"/>
      <c r="BD86" s="70"/>
      <c r="BE86" s="70"/>
      <c r="BF86" s="70"/>
      <c r="BG86" s="70"/>
      <c r="BH86" s="70"/>
      <c r="BI86" s="54"/>
      <c r="BJ86" s="54" t="s">
        <v>120</v>
      </c>
      <c r="BK86" s="54" t="s">
        <v>120</v>
      </c>
      <c r="BL86" s="57"/>
      <c r="BM86" s="51"/>
      <c r="BN86" s="51"/>
      <c r="BO86" s="51"/>
      <c r="BP86" s="51"/>
      <c r="BQ86" s="51"/>
      <c r="BR86" s="54"/>
      <c r="BS86" s="54" t="s">
        <v>392</v>
      </c>
      <c r="BT86" s="63" t="s">
        <v>392</v>
      </c>
      <c r="BU86" s="57"/>
      <c r="BV86" s="51"/>
      <c r="BW86" s="51"/>
      <c r="BX86" s="51"/>
      <c r="BY86" s="51"/>
      <c r="BZ86" s="51"/>
      <c r="CA86" s="54"/>
      <c r="CB86" s="54" t="s">
        <v>393</v>
      </c>
      <c r="CC86" s="54" t="s">
        <v>393</v>
      </c>
      <c r="CD86" s="57"/>
      <c r="CE86" s="51"/>
      <c r="CF86" s="51"/>
      <c r="CG86" s="51"/>
      <c r="CH86" s="51"/>
      <c r="CI86" s="51"/>
      <c r="CJ86" s="51"/>
      <c r="CK86" s="51"/>
      <c r="CL86" s="51" t="e">
        <v>#N/A</v>
      </c>
      <c r="CM86" s="51" t="s">
        <v>402</v>
      </c>
      <c r="CN86" s="71"/>
      <c r="CO86" s="72"/>
      <c r="CP86" s="72"/>
      <c r="CQ86" s="72"/>
      <c r="CR86" s="72"/>
      <c r="CS86" s="72"/>
      <c r="CT86" s="51"/>
      <c r="CU86" s="51" t="s">
        <v>412</v>
      </c>
      <c r="CV86" s="51" t="s">
        <v>400</v>
      </c>
      <c r="CW86" s="57"/>
      <c r="CX86" s="51"/>
      <c r="CY86" s="51" t="s">
        <v>398</v>
      </c>
      <c r="CZ86" s="64" t="str">
        <f>IF(_xlfn.XLOOKUP(B86,[2]累计数据!$C$193:$C$245,[2]累计数据!$C$193:$C$245,"N")=B86,"Y","N")</f>
        <v>N</v>
      </c>
      <c r="DA86" s="57" t="s">
        <v>412</v>
      </c>
      <c r="DB86" s="59">
        <v>0.02</v>
      </c>
      <c r="DC86" s="59">
        <v>0</v>
      </c>
      <c r="DD86" s="65"/>
      <c r="DE86" s="51"/>
      <c r="DF86" s="51"/>
      <c r="DG86" s="51"/>
      <c r="DH86" s="51"/>
      <c r="DI86" s="51"/>
      <c r="DJ86" s="51"/>
    </row>
    <row r="87" customFormat="1" ht="22.5" customHeight="1" spans="1:114">
      <c r="A87" s="46">
        <v>12616</v>
      </c>
      <c r="B87" s="47" t="s">
        <v>448</v>
      </c>
      <c r="C87" s="48">
        <v>46141</v>
      </c>
      <c r="D87" s="49">
        <f>IF(_xlfn.XLOOKUP(A87,[1]分配表!J:J,[1]分配表!M:M)=0,"未出单",_xlfn.XLOOKUP(A87,[1]分配表!J:J,[1]分配表!M:M))</f>
        <v>46145</v>
      </c>
      <c r="E87" s="50" t="str">
        <f>_xlfn.XLOOKUP(A87,[1]分配表!A:A,[1]分配表!C:C)</f>
        <v>王偲涵</v>
      </c>
      <c r="F87" s="50" t="s">
        <v>52</v>
      </c>
      <c r="G87" s="50" t="s">
        <v>34</v>
      </c>
      <c r="H87" s="51" t="s">
        <v>412</v>
      </c>
      <c r="I87" s="51" t="s">
        <v>412</v>
      </c>
      <c r="J87" s="51" t="s">
        <v>412</v>
      </c>
      <c r="K87" s="51" t="s">
        <v>412</v>
      </c>
      <c r="L87" s="51" t="s">
        <v>412</v>
      </c>
      <c r="M87" s="51" t="s">
        <v>412</v>
      </c>
      <c r="N87" s="51" t="s">
        <v>412</v>
      </c>
      <c r="O87" s="51">
        <v>0</v>
      </c>
      <c r="P87" s="51">
        <v>2</v>
      </c>
      <c r="Q87" s="52">
        <f t="shared" si="2"/>
        <v>2</v>
      </c>
      <c r="R87" s="57"/>
      <c r="S87" s="51"/>
      <c r="T87" s="51"/>
      <c r="U87" s="51"/>
      <c r="V87" s="51"/>
      <c r="W87" s="51"/>
      <c r="X87" s="54"/>
      <c r="Y87" s="55">
        <v>0</v>
      </c>
      <c r="Z87" s="56">
        <v>190</v>
      </c>
      <c r="AA87" s="54">
        <f t="shared" si="3"/>
        <v>190</v>
      </c>
      <c r="AB87" s="57"/>
      <c r="AC87" s="51"/>
      <c r="AD87" s="51"/>
      <c r="AE87" s="51"/>
      <c r="AF87" s="51"/>
      <c r="AG87" s="51"/>
      <c r="AH87" s="51"/>
      <c r="AI87" s="51" t="e">
        <v>#N/A</v>
      </c>
      <c r="AJ87" s="51">
        <v>0</v>
      </c>
      <c r="AK87" s="57"/>
      <c r="AL87" s="51"/>
      <c r="AM87" s="51"/>
      <c r="AN87" s="51"/>
      <c r="AO87" s="51"/>
      <c r="AP87" s="51"/>
      <c r="AQ87" s="59"/>
      <c r="AR87" s="59" t="e">
        <v>#N/A</v>
      </c>
      <c r="AS87" s="59">
        <v>1</v>
      </c>
      <c r="AT87" s="57"/>
      <c r="AU87" s="51"/>
      <c r="AV87" s="51"/>
      <c r="AW87" s="51"/>
      <c r="AX87" s="51"/>
      <c r="AY87" s="51"/>
      <c r="AZ87" s="61"/>
      <c r="BA87" s="61" t="s">
        <v>397</v>
      </c>
      <c r="BB87" s="62">
        <v>6</v>
      </c>
      <c r="BC87" s="51"/>
      <c r="BD87" s="70"/>
      <c r="BE87" s="70"/>
      <c r="BF87" s="70"/>
      <c r="BG87" s="70"/>
      <c r="BH87" s="70"/>
      <c r="BI87" s="54"/>
      <c r="BJ87" s="54" t="s">
        <v>120</v>
      </c>
      <c r="BK87" s="54" t="s">
        <v>391</v>
      </c>
      <c r="BL87" s="57"/>
      <c r="BM87" s="51"/>
      <c r="BN87" s="51"/>
      <c r="BO87" s="51"/>
      <c r="BP87" s="51"/>
      <c r="BQ87" s="51"/>
      <c r="BR87" s="54"/>
      <c r="BS87" s="54" t="s">
        <v>392</v>
      </c>
      <c r="BT87" s="63" t="s">
        <v>392</v>
      </c>
      <c r="BU87" s="57"/>
      <c r="BV87" s="51"/>
      <c r="BW87" s="51"/>
      <c r="BX87" s="51"/>
      <c r="BY87" s="51"/>
      <c r="BZ87" s="51"/>
      <c r="CA87" s="54"/>
      <c r="CB87" s="54" t="s">
        <v>393</v>
      </c>
      <c r="CC87" s="54" t="s">
        <v>393</v>
      </c>
      <c r="CD87" s="57"/>
      <c r="CE87" s="51"/>
      <c r="CF87" s="51"/>
      <c r="CG87" s="51"/>
      <c r="CH87" s="51"/>
      <c r="CI87" s="51"/>
      <c r="CJ87" s="51"/>
      <c r="CK87" s="51"/>
      <c r="CL87" s="51" t="e">
        <v>#N/A</v>
      </c>
      <c r="CM87" s="51" t="s">
        <v>392</v>
      </c>
      <c r="CN87" s="71"/>
      <c r="CO87" s="72"/>
      <c r="CP87" s="72"/>
      <c r="CQ87" s="72"/>
      <c r="CR87" s="72"/>
      <c r="CS87" s="72"/>
      <c r="CT87" s="51"/>
      <c r="CU87" s="51" t="s">
        <v>412</v>
      </c>
      <c r="CV87" s="51" t="s">
        <v>400</v>
      </c>
      <c r="CW87" s="57"/>
      <c r="CX87" s="51"/>
      <c r="CY87" s="51" t="s">
        <v>398</v>
      </c>
      <c r="CZ87" s="64" t="str">
        <f>IF(_xlfn.XLOOKUP(B87,[2]累计数据!$C$193:$C$245,[2]累计数据!$C$193:$C$245,"N")=B87,"Y","N")</f>
        <v>N</v>
      </c>
      <c r="DA87" s="57" t="s">
        <v>412</v>
      </c>
      <c r="DB87" s="59">
        <v>0.02</v>
      </c>
      <c r="DC87" s="59">
        <v>0</v>
      </c>
      <c r="DD87" s="65"/>
      <c r="DE87" s="51"/>
      <c r="DF87" s="51"/>
      <c r="DG87" s="51"/>
      <c r="DH87" s="51"/>
      <c r="DI87" s="51"/>
      <c r="DJ87" s="51"/>
    </row>
    <row r="88" customFormat="1" ht="22.5" customHeight="1" spans="1:114">
      <c r="A88" s="46">
        <v>12572</v>
      </c>
      <c r="B88" s="47" t="s">
        <v>239</v>
      </c>
      <c r="C88" s="48">
        <v>46141</v>
      </c>
      <c r="D88" s="49">
        <f>IF(_xlfn.XLOOKUP(A88,[1]分配表!J:J,[1]分配表!M:M)=0,"未出单",_xlfn.XLOOKUP(A88,[1]分配表!J:J,[1]分配表!M:M))</f>
        <v>46147</v>
      </c>
      <c r="E88" s="50" t="str">
        <f>_xlfn.XLOOKUP(A88,[1]分配表!A:A,[1]分配表!C:C)</f>
        <v>胡煜星</v>
      </c>
      <c r="F88" s="50" t="s">
        <v>52</v>
      </c>
      <c r="G88" s="50" t="s">
        <v>45</v>
      </c>
      <c r="H88" s="51" t="s">
        <v>412</v>
      </c>
      <c r="I88" s="51" t="s">
        <v>412</v>
      </c>
      <c r="J88" s="51" t="s">
        <v>412</v>
      </c>
      <c r="K88" s="51" t="s">
        <v>412</v>
      </c>
      <c r="L88" s="51" t="s">
        <v>412</v>
      </c>
      <c r="M88" s="51" t="s">
        <v>412</v>
      </c>
      <c r="N88" s="51" t="s">
        <v>412</v>
      </c>
      <c r="O88" s="51">
        <v>0</v>
      </c>
      <c r="P88" s="51">
        <v>1</v>
      </c>
      <c r="Q88" s="52">
        <f t="shared" si="2"/>
        <v>1</v>
      </c>
      <c r="R88" s="57"/>
      <c r="S88" s="51"/>
      <c r="T88" s="51"/>
      <c r="U88" s="51"/>
      <c r="V88" s="51"/>
      <c r="W88" s="51"/>
      <c r="X88" s="54"/>
      <c r="Y88" s="55">
        <v>0</v>
      </c>
      <c r="Z88" s="56">
        <v>60</v>
      </c>
      <c r="AA88" s="54">
        <f t="shared" si="3"/>
        <v>60</v>
      </c>
      <c r="AB88" s="57"/>
      <c r="AC88" s="51"/>
      <c r="AD88" s="51"/>
      <c r="AE88" s="51"/>
      <c r="AF88" s="51"/>
      <c r="AG88" s="51"/>
      <c r="AH88" s="51"/>
      <c r="AI88" s="51" t="e">
        <v>#N/A</v>
      </c>
      <c r="AJ88" s="51">
        <v>0</v>
      </c>
      <c r="AK88" s="57"/>
      <c r="AL88" s="51"/>
      <c r="AM88" s="51"/>
      <c r="AN88" s="51"/>
      <c r="AO88" s="51"/>
      <c r="AP88" s="51"/>
      <c r="AQ88" s="59"/>
      <c r="AR88" s="59" t="e">
        <v>#N/A</v>
      </c>
      <c r="AS88" s="59" t="s">
        <v>390</v>
      </c>
      <c r="AT88" s="57"/>
      <c r="AU88" s="51"/>
      <c r="AV88" s="51"/>
      <c r="AW88" s="51"/>
      <c r="AX88" s="51"/>
      <c r="AY88" s="51"/>
      <c r="AZ88" s="61"/>
      <c r="BA88" s="61" t="s">
        <v>397</v>
      </c>
      <c r="BB88" s="62">
        <v>0</v>
      </c>
      <c r="BC88" s="51"/>
      <c r="BD88" s="70"/>
      <c r="BE88" s="70"/>
      <c r="BF88" s="70"/>
      <c r="BG88" s="70"/>
      <c r="BH88" s="70"/>
      <c r="BI88" s="54"/>
      <c r="BJ88" s="54" t="s">
        <v>120</v>
      </c>
      <c r="BK88" s="54" t="s">
        <v>120</v>
      </c>
      <c r="BL88" s="57"/>
      <c r="BM88" s="51"/>
      <c r="BN88" s="51"/>
      <c r="BO88" s="51"/>
      <c r="BP88" s="51"/>
      <c r="BQ88" s="51"/>
      <c r="BR88" s="54"/>
      <c r="BS88" s="54" t="s">
        <v>392</v>
      </c>
      <c r="BT88" s="63" t="s">
        <v>392</v>
      </c>
      <c r="BU88" s="57"/>
      <c r="BV88" s="51"/>
      <c r="BW88" s="51"/>
      <c r="BX88" s="51"/>
      <c r="BY88" s="51"/>
      <c r="BZ88" s="51"/>
      <c r="CA88" s="54"/>
      <c r="CB88" s="54" t="s">
        <v>393</v>
      </c>
      <c r="CC88" s="54" t="s">
        <v>392</v>
      </c>
      <c r="CD88" s="57"/>
      <c r="CE88" s="51"/>
      <c r="CF88" s="51"/>
      <c r="CG88" s="51"/>
      <c r="CH88" s="51"/>
      <c r="CI88" s="51"/>
      <c r="CJ88" s="51"/>
      <c r="CK88" s="51"/>
      <c r="CL88" s="51" t="e">
        <v>#N/A</v>
      </c>
      <c r="CM88" s="51" t="s">
        <v>394</v>
      </c>
      <c r="CN88" s="71"/>
      <c r="CO88" s="72"/>
      <c r="CP88" s="72"/>
      <c r="CQ88" s="72"/>
      <c r="CR88" s="72"/>
      <c r="CS88" s="72"/>
      <c r="CT88" s="51"/>
      <c r="CU88" s="51" t="s">
        <v>412</v>
      </c>
      <c r="CV88" s="51" t="s">
        <v>400</v>
      </c>
      <c r="CW88" s="57"/>
      <c r="CX88" s="51"/>
      <c r="CY88" s="51" t="s">
        <v>391</v>
      </c>
      <c r="CZ88" s="64" t="str">
        <f>IF(_xlfn.XLOOKUP(B88,[2]累计数据!$C$193:$C$245,[2]累计数据!$C$193:$C$245,"N")=B88,"Y","N")</f>
        <v>Y</v>
      </c>
      <c r="DA88" s="57" t="s">
        <v>412</v>
      </c>
      <c r="DB88" s="59">
        <v>0</v>
      </c>
      <c r="DC88" s="59">
        <v>0</v>
      </c>
      <c r="DD88" s="65"/>
      <c r="DE88" s="51"/>
      <c r="DF88" s="51"/>
      <c r="DG88" s="51"/>
      <c r="DH88" s="51"/>
      <c r="DI88" s="51"/>
      <c r="DJ88" s="51"/>
    </row>
    <row r="89" customFormat="1" ht="22.5" customHeight="1" spans="1:114">
      <c r="A89" s="46">
        <v>12573</v>
      </c>
      <c r="B89" s="47" t="s">
        <v>241</v>
      </c>
      <c r="C89" s="48">
        <v>46141</v>
      </c>
      <c r="D89" s="49" t="str">
        <f>IF(_xlfn.XLOOKUP(A89,[1]分配表!J:J,[1]分配表!M:M)=0,"未出单",_xlfn.XLOOKUP(A89,[1]分配表!J:J,[1]分配表!M:M))</f>
        <v>未出单</v>
      </c>
      <c r="E89" s="50" t="str">
        <f>_xlfn.XLOOKUP(A89,[1]分配表!A:A,[1]分配表!C:C)</f>
        <v>胡煜星</v>
      </c>
      <c r="F89" s="50" t="s">
        <v>52</v>
      </c>
      <c r="G89" s="50" t="s">
        <v>45</v>
      </c>
      <c r="H89" s="51" t="s">
        <v>412</v>
      </c>
      <c r="I89" s="51" t="s">
        <v>412</v>
      </c>
      <c r="J89" s="51" t="s">
        <v>412</v>
      </c>
      <c r="K89" s="51" t="s">
        <v>412</v>
      </c>
      <c r="L89" s="51" t="s">
        <v>412</v>
      </c>
      <c r="M89" s="51" t="s">
        <v>412</v>
      </c>
      <c r="N89" s="51" t="s">
        <v>412</v>
      </c>
      <c r="O89" s="51">
        <v>0</v>
      </c>
      <c r="P89" s="51">
        <v>0</v>
      </c>
      <c r="Q89" s="52">
        <f t="shared" si="2"/>
        <v>0</v>
      </c>
      <c r="R89" s="57"/>
      <c r="S89" s="51"/>
      <c r="T89" s="51"/>
      <c r="U89" s="51"/>
      <c r="V89" s="51"/>
      <c r="W89" s="51"/>
      <c r="X89" s="54"/>
      <c r="Y89" s="55">
        <v>0</v>
      </c>
      <c r="Z89" s="56">
        <v>0</v>
      </c>
      <c r="AA89" s="54">
        <f t="shared" si="3"/>
        <v>0</v>
      </c>
      <c r="AB89" s="57"/>
      <c r="AC89" s="51"/>
      <c r="AD89" s="51"/>
      <c r="AE89" s="51"/>
      <c r="AF89" s="51"/>
      <c r="AG89" s="51"/>
      <c r="AH89" s="51"/>
      <c r="AI89" s="51" t="e">
        <v>#N/A</v>
      </c>
      <c r="AJ89" s="51">
        <v>0</v>
      </c>
      <c r="AK89" s="57"/>
      <c r="AL89" s="51"/>
      <c r="AM89" s="51"/>
      <c r="AN89" s="51"/>
      <c r="AO89" s="51"/>
      <c r="AP89" s="51"/>
      <c r="AQ89" s="59"/>
      <c r="AR89" s="59" t="e">
        <v>#N/A</v>
      </c>
      <c r="AS89" s="59" t="s">
        <v>390</v>
      </c>
      <c r="AT89" s="57"/>
      <c r="AU89" s="51"/>
      <c r="AV89" s="51"/>
      <c r="AW89" s="51"/>
      <c r="AX89" s="51"/>
      <c r="AY89" s="51"/>
      <c r="AZ89" s="61"/>
      <c r="BA89" s="61" t="s">
        <v>397</v>
      </c>
      <c r="BB89" s="62">
        <v>0</v>
      </c>
      <c r="BC89" s="51"/>
      <c r="BD89" s="70"/>
      <c r="BE89" s="70"/>
      <c r="BF89" s="70"/>
      <c r="BG89" s="70"/>
      <c r="BH89" s="70"/>
      <c r="BI89" s="54"/>
      <c r="BJ89" s="54" t="s">
        <v>120</v>
      </c>
      <c r="BK89" s="54" t="s">
        <v>120</v>
      </c>
      <c r="BL89" s="57"/>
      <c r="BM89" s="51"/>
      <c r="BN89" s="51"/>
      <c r="BO89" s="51"/>
      <c r="BP89" s="51"/>
      <c r="BQ89" s="51"/>
      <c r="BR89" s="54"/>
      <c r="BS89" s="54" t="s">
        <v>392</v>
      </c>
      <c r="BT89" s="63" t="s">
        <v>392</v>
      </c>
      <c r="BU89" s="57"/>
      <c r="BV89" s="51"/>
      <c r="BW89" s="51"/>
      <c r="BX89" s="51"/>
      <c r="BY89" s="51"/>
      <c r="BZ89" s="51"/>
      <c r="CA89" s="54"/>
      <c r="CB89" s="54" t="s">
        <v>393</v>
      </c>
      <c r="CC89" s="54" t="s">
        <v>392</v>
      </c>
      <c r="CD89" s="57"/>
      <c r="CE89" s="51"/>
      <c r="CF89" s="51"/>
      <c r="CG89" s="51"/>
      <c r="CH89" s="51"/>
      <c r="CI89" s="51"/>
      <c r="CJ89" s="51"/>
      <c r="CK89" s="51"/>
      <c r="CL89" s="51" t="e">
        <v>#N/A</v>
      </c>
      <c r="CM89" s="51" t="s">
        <v>394</v>
      </c>
      <c r="CN89" s="71"/>
      <c r="CO89" s="72"/>
      <c r="CP89" s="72"/>
      <c r="CQ89" s="72"/>
      <c r="CR89" s="72"/>
      <c r="CS89" s="72"/>
      <c r="CT89" s="51"/>
      <c r="CU89" s="51" t="s">
        <v>412</v>
      </c>
      <c r="CV89" s="51" t="s">
        <v>403</v>
      </c>
      <c r="CW89" s="57"/>
      <c r="CX89" s="51"/>
      <c r="CY89" s="51" t="s">
        <v>391</v>
      </c>
      <c r="CZ89" s="64" t="str">
        <f>IF(_xlfn.XLOOKUP(B89,[2]累计数据!$C$193:$C$245,[2]累计数据!$C$193:$C$245,"N")=B89,"Y","N")</f>
        <v>Y</v>
      </c>
      <c r="DA89" s="57" t="s">
        <v>412</v>
      </c>
      <c r="DB89" s="59">
        <v>0</v>
      </c>
      <c r="DC89" s="59">
        <v>0</v>
      </c>
      <c r="DD89" s="65"/>
      <c r="DE89" s="51"/>
      <c r="DF89" s="51"/>
      <c r="DG89" s="51"/>
      <c r="DH89" s="51"/>
      <c r="DI89" s="51"/>
      <c r="DJ89" s="51"/>
    </row>
    <row r="90" customFormat="1" ht="22.5" customHeight="1" spans="1:114">
      <c r="A90" s="46">
        <v>12650</v>
      </c>
      <c r="B90" s="47" t="s">
        <v>231</v>
      </c>
      <c r="C90" s="48">
        <v>46141</v>
      </c>
      <c r="D90" s="49" t="str">
        <f>IF(_xlfn.XLOOKUP(A90,[1]分配表!J:J,[1]分配表!M:M)=0,"未出单",_xlfn.XLOOKUP(A90,[1]分配表!J:J,[1]分配表!M:M))</f>
        <v>未出单</v>
      </c>
      <c r="E90" s="50" t="str">
        <f>_xlfn.XLOOKUP(A90,[1]分配表!A:A,[1]分配表!C:C)</f>
        <v>张潇</v>
      </c>
      <c r="F90" s="50" t="s">
        <v>52</v>
      </c>
      <c r="G90" s="50" t="s">
        <v>34</v>
      </c>
      <c r="H90" s="51" t="s">
        <v>412</v>
      </c>
      <c r="I90" s="51" t="s">
        <v>412</v>
      </c>
      <c r="J90" s="51" t="s">
        <v>412</v>
      </c>
      <c r="K90" s="51" t="s">
        <v>412</v>
      </c>
      <c r="L90" s="51" t="s">
        <v>412</v>
      </c>
      <c r="M90" s="51" t="s">
        <v>412</v>
      </c>
      <c r="N90" s="51" t="s">
        <v>412</v>
      </c>
      <c r="O90" s="51">
        <v>0</v>
      </c>
      <c r="P90" s="51">
        <v>0</v>
      </c>
      <c r="Q90" s="52">
        <f t="shared" si="2"/>
        <v>0</v>
      </c>
      <c r="R90" s="57"/>
      <c r="S90" s="51"/>
      <c r="T90" s="51"/>
      <c r="U90" s="51"/>
      <c r="V90" s="51"/>
      <c r="W90" s="51"/>
      <c r="X90" s="54"/>
      <c r="Y90" s="55">
        <v>0</v>
      </c>
      <c r="Z90" s="56">
        <v>0</v>
      </c>
      <c r="AA90" s="54">
        <f t="shared" si="3"/>
        <v>0</v>
      </c>
      <c r="AB90" s="57"/>
      <c r="AC90" s="51"/>
      <c r="AD90" s="51"/>
      <c r="AE90" s="51"/>
      <c r="AF90" s="51"/>
      <c r="AG90" s="51"/>
      <c r="AH90" s="51"/>
      <c r="AI90" s="51" t="e">
        <v>#N/A</v>
      </c>
      <c r="AJ90" s="51">
        <v>0</v>
      </c>
      <c r="AK90" s="57"/>
      <c r="AL90" s="51"/>
      <c r="AM90" s="51"/>
      <c r="AN90" s="51"/>
      <c r="AO90" s="51"/>
      <c r="AP90" s="51"/>
      <c r="AQ90" s="59"/>
      <c r="AR90" s="59" t="e">
        <v>#N/A</v>
      </c>
      <c r="AS90" s="59" t="s">
        <v>390</v>
      </c>
      <c r="AT90" s="57"/>
      <c r="AU90" s="51"/>
      <c r="AV90" s="51"/>
      <c r="AW90" s="51"/>
      <c r="AX90" s="51"/>
      <c r="AY90" s="51"/>
      <c r="AZ90" s="61"/>
      <c r="BA90" s="61" t="s">
        <v>397</v>
      </c>
      <c r="BB90" s="62">
        <v>0</v>
      </c>
      <c r="BC90" s="51"/>
      <c r="BD90" s="70"/>
      <c r="BE90" s="70"/>
      <c r="BF90" s="70"/>
      <c r="BG90" s="70"/>
      <c r="BH90" s="70"/>
      <c r="BI90" s="54"/>
      <c r="BJ90" s="54" t="s">
        <v>120</v>
      </c>
      <c r="BK90" s="54" t="s">
        <v>120</v>
      </c>
      <c r="BL90" s="57"/>
      <c r="BM90" s="51"/>
      <c r="BN90" s="51"/>
      <c r="BO90" s="51"/>
      <c r="BP90" s="51"/>
      <c r="BQ90" s="51"/>
      <c r="BR90" s="54"/>
      <c r="BS90" s="54" t="s">
        <v>392</v>
      </c>
      <c r="BT90" s="63" t="s">
        <v>392</v>
      </c>
      <c r="BU90" s="57"/>
      <c r="BV90" s="51"/>
      <c r="BW90" s="51"/>
      <c r="BX90" s="51"/>
      <c r="BY90" s="51"/>
      <c r="BZ90" s="51"/>
      <c r="CA90" s="54"/>
      <c r="CB90" s="54" t="s">
        <v>393</v>
      </c>
      <c r="CC90" s="54" t="s">
        <v>392</v>
      </c>
      <c r="CD90" s="57"/>
      <c r="CE90" s="51"/>
      <c r="CF90" s="51"/>
      <c r="CG90" s="51"/>
      <c r="CH90" s="51"/>
      <c r="CI90" s="51"/>
      <c r="CJ90" s="51"/>
      <c r="CK90" s="51"/>
      <c r="CL90" s="51" t="e">
        <v>#N/A</v>
      </c>
      <c r="CM90" s="51" t="s">
        <v>394</v>
      </c>
      <c r="CN90" s="71"/>
      <c r="CO90" s="72"/>
      <c r="CP90" s="72"/>
      <c r="CQ90" s="72"/>
      <c r="CR90" s="72"/>
      <c r="CS90" s="72"/>
      <c r="CT90" s="51"/>
      <c r="CU90" s="51" t="s">
        <v>412</v>
      </c>
      <c r="CV90" s="51" t="s">
        <v>396</v>
      </c>
      <c r="CW90" s="57"/>
      <c r="CX90" s="51"/>
      <c r="CY90" s="51" t="s">
        <v>391</v>
      </c>
      <c r="CZ90" s="64" t="str">
        <f>IF(_xlfn.XLOOKUP(B90,[2]累计数据!$C$193:$C$245,[2]累计数据!$C$193:$C$245,"N")=B90,"Y","N")</f>
        <v>Y</v>
      </c>
      <c r="DA90" s="57" t="s">
        <v>412</v>
      </c>
      <c r="DB90" s="59">
        <v>0</v>
      </c>
      <c r="DC90" s="59">
        <v>0</v>
      </c>
      <c r="DD90" s="65"/>
      <c r="DE90" s="51"/>
      <c r="DF90" s="51"/>
      <c r="DG90" s="51"/>
      <c r="DH90" s="51"/>
      <c r="DI90" s="51"/>
      <c r="DJ90" s="51"/>
    </row>
    <row r="91" customFormat="1" ht="22.5" customHeight="1" spans="1:114">
      <c r="A91" s="46">
        <v>12649</v>
      </c>
      <c r="B91" s="47" t="s">
        <v>244</v>
      </c>
      <c r="C91" s="48">
        <v>46141</v>
      </c>
      <c r="D91" s="49" t="str">
        <f>IF(_xlfn.XLOOKUP(A91,[1]分配表!J:J,[1]分配表!M:M)=0,"未出单",_xlfn.XLOOKUP(A91,[1]分配表!J:J,[1]分配表!M:M))</f>
        <v>未出单</v>
      </c>
      <c r="E91" s="50" t="str">
        <f>_xlfn.XLOOKUP(A91,[1]分配表!A:A,[1]分配表!C:C)</f>
        <v>张潇</v>
      </c>
      <c r="F91" s="50" t="s">
        <v>52</v>
      </c>
      <c r="G91" s="50" t="s">
        <v>34</v>
      </c>
      <c r="H91" s="51" t="s">
        <v>412</v>
      </c>
      <c r="I91" s="51" t="s">
        <v>412</v>
      </c>
      <c r="J91" s="51" t="s">
        <v>412</v>
      </c>
      <c r="K91" s="51" t="s">
        <v>412</v>
      </c>
      <c r="L91" s="51" t="s">
        <v>412</v>
      </c>
      <c r="M91" s="51" t="s">
        <v>412</v>
      </c>
      <c r="N91" s="51" t="s">
        <v>412</v>
      </c>
      <c r="O91" s="51">
        <v>0</v>
      </c>
      <c r="P91" s="51">
        <v>0</v>
      </c>
      <c r="Q91" s="52">
        <f t="shared" si="2"/>
        <v>0</v>
      </c>
      <c r="R91" s="57"/>
      <c r="S91" s="51"/>
      <c r="T91" s="51"/>
      <c r="U91" s="51"/>
      <c r="V91" s="51"/>
      <c r="W91" s="51"/>
      <c r="X91" s="54"/>
      <c r="Y91" s="55">
        <v>0</v>
      </c>
      <c r="Z91" s="56">
        <v>0</v>
      </c>
      <c r="AA91" s="54">
        <f t="shared" si="3"/>
        <v>0</v>
      </c>
      <c r="AB91" s="57"/>
      <c r="AC91" s="51"/>
      <c r="AD91" s="51"/>
      <c r="AE91" s="51"/>
      <c r="AF91" s="51"/>
      <c r="AG91" s="51"/>
      <c r="AH91" s="51"/>
      <c r="AI91" s="51" t="e">
        <v>#N/A</v>
      </c>
      <c r="AJ91" s="51">
        <v>0</v>
      </c>
      <c r="AK91" s="57"/>
      <c r="AL91" s="51"/>
      <c r="AM91" s="51"/>
      <c r="AN91" s="51"/>
      <c r="AO91" s="51"/>
      <c r="AP91" s="51"/>
      <c r="AQ91" s="59"/>
      <c r="AR91" s="59" t="e">
        <v>#N/A</v>
      </c>
      <c r="AS91" s="59" t="s">
        <v>390</v>
      </c>
      <c r="AT91" s="57"/>
      <c r="AU91" s="51"/>
      <c r="AV91" s="51"/>
      <c r="AW91" s="51"/>
      <c r="AX91" s="51"/>
      <c r="AY91" s="51"/>
      <c r="AZ91" s="61"/>
      <c r="BA91" s="61" t="s">
        <v>397</v>
      </c>
      <c r="BB91" s="62">
        <v>0</v>
      </c>
      <c r="BC91" s="51"/>
      <c r="BD91" s="70"/>
      <c r="BE91" s="70"/>
      <c r="BF91" s="70"/>
      <c r="BG91" s="70"/>
      <c r="BH91" s="70"/>
      <c r="BI91" s="54"/>
      <c r="BJ91" s="54" t="s">
        <v>120</v>
      </c>
      <c r="BK91" s="54" t="s">
        <v>120</v>
      </c>
      <c r="BL91" s="57"/>
      <c r="BM91" s="51"/>
      <c r="BN91" s="51"/>
      <c r="BO91" s="51"/>
      <c r="BP91" s="51"/>
      <c r="BQ91" s="51"/>
      <c r="BR91" s="54"/>
      <c r="BS91" s="54" t="s">
        <v>392</v>
      </c>
      <c r="BT91" s="63" t="s">
        <v>392</v>
      </c>
      <c r="BU91" s="57"/>
      <c r="BV91" s="51"/>
      <c r="BW91" s="51"/>
      <c r="BX91" s="51"/>
      <c r="BY91" s="51"/>
      <c r="BZ91" s="51"/>
      <c r="CA91" s="54"/>
      <c r="CB91" s="54" t="s">
        <v>393</v>
      </c>
      <c r="CC91" s="54" t="s">
        <v>392</v>
      </c>
      <c r="CD91" s="57"/>
      <c r="CE91" s="51"/>
      <c r="CF91" s="51"/>
      <c r="CG91" s="51"/>
      <c r="CH91" s="51"/>
      <c r="CI91" s="51"/>
      <c r="CJ91" s="51"/>
      <c r="CK91" s="51"/>
      <c r="CL91" s="51" t="e">
        <v>#N/A</v>
      </c>
      <c r="CM91" s="51" t="s">
        <v>394</v>
      </c>
      <c r="CN91" s="71"/>
      <c r="CO91" s="72"/>
      <c r="CP91" s="72"/>
      <c r="CQ91" s="72"/>
      <c r="CR91" s="72"/>
      <c r="CS91" s="72"/>
      <c r="CT91" s="51"/>
      <c r="CU91" s="51" t="s">
        <v>412</v>
      </c>
      <c r="CV91" s="51" t="s">
        <v>396</v>
      </c>
      <c r="CW91" s="57"/>
      <c r="CX91" s="51"/>
      <c r="CY91" s="51" t="s">
        <v>391</v>
      </c>
      <c r="CZ91" s="64" t="str">
        <f>IF(_xlfn.XLOOKUP(B91,[2]累计数据!$C$193:$C$245,[2]累计数据!$C$193:$C$245,"N")=B91,"Y","N")</f>
        <v>Y</v>
      </c>
      <c r="DA91" s="57" t="s">
        <v>412</v>
      </c>
      <c r="DB91" s="59">
        <v>0</v>
      </c>
      <c r="DC91" s="59">
        <v>0</v>
      </c>
      <c r="DD91" s="65"/>
      <c r="DE91" s="51"/>
      <c r="DF91" s="51"/>
      <c r="DG91" s="51"/>
      <c r="DH91" s="51"/>
      <c r="DI91" s="51"/>
      <c r="DJ91" s="51"/>
    </row>
    <row r="92" customFormat="1" ht="22.5" customHeight="1" spans="1:114">
      <c r="A92" s="46">
        <v>12632</v>
      </c>
      <c r="B92" s="47" t="s">
        <v>449</v>
      </c>
      <c r="C92" s="48">
        <v>46142</v>
      </c>
      <c r="D92" s="49" t="str">
        <f>IF(_xlfn.XLOOKUP(A92,[1]分配表!J:J,[1]分配表!M:M)=0,"未出单",_xlfn.XLOOKUP(A92,[1]分配表!J:J,[1]分配表!M:M))</f>
        <v>未出单</v>
      </c>
      <c r="E92" s="50" t="str">
        <f>_xlfn.XLOOKUP(A92,[1]分配表!A:A,[1]分配表!C:C)</f>
        <v>俞东旭</v>
      </c>
      <c r="F92" s="50" t="s">
        <v>44</v>
      </c>
      <c r="G92" s="50" t="s">
        <v>45</v>
      </c>
      <c r="H92" s="51" t="s">
        <v>412</v>
      </c>
      <c r="I92" s="51" t="s">
        <v>412</v>
      </c>
      <c r="J92" s="51" t="s">
        <v>412</v>
      </c>
      <c r="K92" s="51" t="s">
        <v>412</v>
      </c>
      <c r="L92" s="51" t="s">
        <v>412</v>
      </c>
      <c r="M92" s="51" t="s">
        <v>412</v>
      </c>
      <c r="N92" s="51" t="s">
        <v>412</v>
      </c>
      <c r="O92" s="51" t="s">
        <v>412</v>
      </c>
      <c r="P92" s="51">
        <v>0</v>
      </c>
      <c r="Q92" s="52">
        <f t="shared" si="2"/>
        <v>0</v>
      </c>
      <c r="R92" s="57"/>
      <c r="S92" s="51"/>
      <c r="T92" s="51"/>
      <c r="U92" s="51"/>
      <c r="V92" s="51"/>
      <c r="W92" s="51"/>
      <c r="X92" s="51" t="s">
        <v>412</v>
      </c>
      <c r="Y92" s="55" t="s">
        <v>412</v>
      </c>
      <c r="Z92" s="56">
        <v>0</v>
      </c>
      <c r="AA92" s="54">
        <f t="shared" si="3"/>
        <v>0</v>
      </c>
      <c r="AB92" s="57"/>
      <c r="AC92" s="51"/>
      <c r="AD92" s="51"/>
      <c r="AE92" s="51"/>
      <c r="AF92" s="51"/>
      <c r="AG92" s="51" t="s">
        <v>412</v>
      </c>
      <c r="AH92" s="51" t="s">
        <v>412</v>
      </c>
      <c r="AI92" s="51" t="s">
        <v>412</v>
      </c>
      <c r="AJ92" s="51">
        <v>0</v>
      </c>
      <c r="AK92" s="57" t="s">
        <v>412</v>
      </c>
      <c r="AL92" s="51" t="s">
        <v>412</v>
      </c>
      <c r="AM92" s="51" t="s">
        <v>412</v>
      </c>
      <c r="AN92" s="51" t="s">
        <v>412</v>
      </c>
      <c r="AO92" s="51" t="s">
        <v>412</v>
      </c>
      <c r="AP92" s="51" t="s">
        <v>412</v>
      </c>
      <c r="AQ92" s="51" t="s">
        <v>412</v>
      </c>
      <c r="AR92" s="59" t="s">
        <v>412</v>
      </c>
      <c r="AS92" s="59" t="s">
        <v>390</v>
      </c>
      <c r="AT92" s="57" t="s">
        <v>412</v>
      </c>
      <c r="AU92" s="51" t="s">
        <v>412</v>
      </c>
      <c r="AV92" s="51" t="s">
        <v>412</v>
      </c>
      <c r="AW92" s="51" t="s">
        <v>412</v>
      </c>
      <c r="AX92" s="51" t="s">
        <v>412</v>
      </c>
      <c r="AY92" s="51" t="s">
        <v>412</v>
      </c>
      <c r="AZ92" s="51" t="s">
        <v>412</v>
      </c>
      <c r="BA92" s="51" t="s">
        <v>412</v>
      </c>
      <c r="BB92" s="62">
        <v>6</v>
      </c>
      <c r="BC92" s="51" t="s">
        <v>412</v>
      </c>
      <c r="BD92" s="51" t="s">
        <v>412</v>
      </c>
      <c r="BE92" s="51" t="s">
        <v>412</v>
      </c>
      <c r="BF92" s="51" t="s">
        <v>412</v>
      </c>
      <c r="BG92" s="51" t="s">
        <v>412</v>
      </c>
      <c r="BH92" s="51" t="s">
        <v>412</v>
      </c>
      <c r="BI92" s="51" t="s">
        <v>412</v>
      </c>
      <c r="BJ92" s="51" t="s">
        <v>412</v>
      </c>
      <c r="BK92" s="54" t="s">
        <v>120</v>
      </c>
      <c r="BL92" s="57" t="s">
        <v>412</v>
      </c>
      <c r="BM92" s="51" t="s">
        <v>412</v>
      </c>
      <c r="BN92" s="51" t="s">
        <v>412</v>
      </c>
      <c r="BO92" s="51" t="s">
        <v>412</v>
      </c>
      <c r="BP92" s="51" t="s">
        <v>412</v>
      </c>
      <c r="BQ92" s="51" t="s">
        <v>412</v>
      </c>
      <c r="BR92" s="51" t="s">
        <v>412</v>
      </c>
      <c r="BS92" s="51" t="s">
        <v>412</v>
      </c>
      <c r="BT92" s="63" t="s">
        <v>392</v>
      </c>
      <c r="BU92" s="57" t="s">
        <v>412</v>
      </c>
      <c r="BV92" s="51" t="s">
        <v>412</v>
      </c>
      <c r="BW92" s="51" t="s">
        <v>412</v>
      </c>
      <c r="BX92" s="51" t="s">
        <v>412</v>
      </c>
      <c r="BY92" s="51" t="s">
        <v>412</v>
      </c>
      <c r="BZ92" s="51" t="s">
        <v>412</v>
      </c>
      <c r="CA92" s="51" t="s">
        <v>412</v>
      </c>
      <c r="CB92" s="51" t="s">
        <v>412</v>
      </c>
      <c r="CC92" s="54" t="s">
        <v>393</v>
      </c>
      <c r="CD92" s="57" t="s">
        <v>412</v>
      </c>
      <c r="CE92" s="51" t="s">
        <v>412</v>
      </c>
      <c r="CF92" s="51" t="s">
        <v>412</v>
      </c>
      <c r="CG92" s="51" t="s">
        <v>412</v>
      </c>
      <c r="CH92" s="51" t="s">
        <v>412</v>
      </c>
      <c r="CI92" s="51" t="s">
        <v>412</v>
      </c>
      <c r="CJ92" s="51" t="s">
        <v>412</v>
      </c>
      <c r="CK92" s="51" t="s">
        <v>412</v>
      </c>
      <c r="CL92" s="51" t="s">
        <v>412</v>
      </c>
      <c r="CM92" s="51" t="s">
        <v>394</v>
      </c>
      <c r="CN92" s="57" t="s">
        <v>412</v>
      </c>
      <c r="CO92" s="51" t="s">
        <v>412</v>
      </c>
      <c r="CP92" s="51" t="s">
        <v>412</v>
      </c>
      <c r="CQ92" s="51" t="s">
        <v>412</v>
      </c>
      <c r="CR92" s="51" t="s">
        <v>412</v>
      </c>
      <c r="CS92" s="51" t="s">
        <v>412</v>
      </c>
      <c r="CT92" s="51" t="s">
        <v>412</v>
      </c>
      <c r="CU92" s="51" t="s">
        <v>412</v>
      </c>
      <c r="CV92" s="51" t="s">
        <v>396</v>
      </c>
      <c r="CW92" s="57" t="s">
        <v>412</v>
      </c>
      <c r="CX92" s="51" t="s">
        <v>412</v>
      </c>
      <c r="CY92" s="51" t="s">
        <v>398</v>
      </c>
      <c r="CZ92" s="64" t="str">
        <f>IF(_xlfn.XLOOKUP(B92,[2]累计数据!$C$193:$C$245,[2]累计数据!$C$193:$C$245,"N")=B92,"Y","N")</f>
        <v>N</v>
      </c>
      <c r="DA92" s="57" t="s">
        <v>412</v>
      </c>
      <c r="DB92" s="51" t="s">
        <v>412</v>
      </c>
      <c r="DC92" s="59">
        <v>0</v>
      </c>
      <c r="DD92" s="65"/>
      <c r="DE92" s="51"/>
      <c r="DF92" s="51"/>
      <c r="DG92" s="51"/>
      <c r="DH92" s="51"/>
      <c r="DI92" s="51"/>
      <c r="DJ92" s="51"/>
    </row>
    <row r="93" customFormat="1" ht="22.5" customHeight="1" spans="1:114">
      <c r="A93" s="46">
        <v>12631</v>
      </c>
      <c r="B93" s="47" t="s">
        <v>450</v>
      </c>
      <c r="C93" s="48">
        <v>46142</v>
      </c>
      <c r="D93" s="49">
        <f>IF(_xlfn.XLOOKUP(A93,[1]分配表!J:J,[1]分配表!M:M)=0,"未出单",_xlfn.XLOOKUP(A93,[1]分配表!J:J,[1]分配表!M:M))</f>
        <v>46142</v>
      </c>
      <c r="E93" s="50" t="str">
        <f>_xlfn.XLOOKUP(A93,[1]分配表!A:A,[1]分配表!C:C)</f>
        <v>俞东旭</v>
      </c>
      <c r="F93" s="50" t="s">
        <v>44</v>
      </c>
      <c r="G93" s="50" t="s">
        <v>34</v>
      </c>
      <c r="H93" s="51" t="s">
        <v>412</v>
      </c>
      <c r="I93" s="51" t="s">
        <v>412</v>
      </c>
      <c r="J93" s="51" t="s">
        <v>412</v>
      </c>
      <c r="K93" s="51" t="s">
        <v>412</v>
      </c>
      <c r="L93" s="51" t="s">
        <v>412</v>
      </c>
      <c r="M93" s="51" t="s">
        <v>412</v>
      </c>
      <c r="N93" s="51" t="s">
        <v>412</v>
      </c>
      <c r="O93" s="51" t="s">
        <v>412</v>
      </c>
      <c r="P93" s="51">
        <v>3</v>
      </c>
      <c r="Q93" s="52">
        <f t="shared" si="2"/>
        <v>3</v>
      </c>
      <c r="R93" s="57"/>
      <c r="S93" s="51"/>
      <c r="T93" s="51"/>
      <c r="U93" s="51"/>
      <c r="V93" s="51"/>
      <c r="W93" s="51"/>
      <c r="X93" s="51" t="s">
        <v>412</v>
      </c>
      <c r="Y93" s="55" t="s">
        <v>412</v>
      </c>
      <c r="Z93" s="56">
        <v>375</v>
      </c>
      <c r="AA93" s="54">
        <f t="shared" si="3"/>
        <v>375</v>
      </c>
      <c r="AB93" s="57"/>
      <c r="AC93" s="51"/>
      <c r="AD93" s="51"/>
      <c r="AE93" s="51"/>
      <c r="AF93" s="51"/>
      <c r="AG93" s="51" t="s">
        <v>412</v>
      </c>
      <c r="AH93" s="51" t="s">
        <v>412</v>
      </c>
      <c r="AI93" s="51" t="s">
        <v>412</v>
      </c>
      <c r="AJ93" s="51">
        <v>0</v>
      </c>
      <c r="AK93" s="57" t="s">
        <v>412</v>
      </c>
      <c r="AL93" s="51" t="s">
        <v>412</v>
      </c>
      <c r="AM93" s="51" t="s">
        <v>412</v>
      </c>
      <c r="AN93" s="51" t="s">
        <v>412</v>
      </c>
      <c r="AO93" s="51" t="s">
        <v>412</v>
      </c>
      <c r="AP93" s="51" t="s">
        <v>412</v>
      </c>
      <c r="AQ93" s="51" t="s">
        <v>412</v>
      </c>
      <c r="AR93" s="59" t="s">
        <v>412</v>
      </c>
      <c r="AS93" s="59">
        <v>1</v>
      </c>
      <c r="AT93" s="57" t="s">
        <v>412</v>
      </c>
      <c r="AU93" s="51" t="s">
        <v>412</v>
      </c>
      <c r="AV93" s="51" t="s">
        <v>412</v>
      </c>
      <c r="AW93" s="51" t="s">
        <v>412</v>
      </c>
      <c r="AX93" s="51" t="s">
        <v>412</v>
      </c>
      <c r="AY93" s="51" t="s">
        <v>412</v>
      </c>
      <c r="AZ93" s="51" t="s">
        <v>412</v>
      </c>
      <c r="BA93" s="51" t="s">
        <v>412</v>
      </c>
      <c r="BB93" s="62">
        <v>6</v>
      </c>
      <c r="BC93" s="51" t="s">
        <v>412</v>
      </c>
      <c r="BD93" s="51" t="s">
        <v>412</v>
      </c>
      <c r="BE93" s="51" t="s">
        <v>412</v>
      </c>
      <c r="BF93" s="51" t="s">
        <v>412</v>
      </c>
      <c r="BG93" s="51" t="s">
        <v>412</v>
      </c>
      <c r="BH93" s="51" t="s">
        <v>412</v>
      </c>
      <c r="BI93" s="51" t="s">
        <v>412</v>
      </c>
      <c r="BJ93" s="51" t="s">
        <v>412</v>
      </c>
      <c r="BK93" s="54" t="s">
        <v>391</v>
      </c>
      <c r="BL93" s="57" t="s">
        <v>412</v>
      </c>
      <c r="BM93" s="51" t="s">
        <v>412</v>
      </c>
      <c r="BN93" s="51" t="s">
        <v>412</v>
      </c>
      <c r="BO93" s="51" t="s">
        <v>412</v>
      </c>
      <c r="BP93" s="51" t="s">
        <v>412</v>
      </c>
      <c r="BQ93" s="51" t="s">
        <v>412</v>
      </c>
      <c r="BR93" s="51" t="s">
        <v>412</v>
      </c>
      <c r="BS93" s="51" t="s">
        <v>412</v>
      </c>
      <c r="BT93" s="63" t="s">
        <v>392</v>
      </c>
      <c r="BU93" s="57" t="s">
        <v>412</v>
      </c>
      <c r="BV93" s="51" t="s">
        <v>412</v>
      </c>
      <c r="BW93" s="51" t="s">
        <v>412</v>
      </c>
      <c r="BX93" s="51" t="s">
        <v>412</v>
      </c>
      <c r="BY93" s="51" t="s">
        <v>412</v>
      </c>
      <c r="BZ93" s="51" t="s">
        <v>412</v>
      </c>
      <c r="CA93" s="51" t="s">
        <v>412</v>
      </c>
      <c r="CB93" s="51" t="s">
        <v>412</v>
      </c>
      <c r="CC93" s="54" t="s">
        <v>393</v>
      </c>
      <c r="CD93" s="57" t="s">
        <v>412</v>
      </c>
      <c r="CE93" s="51" t="s">
        <v>412</v>
      </c>
      <c r="CF93" s="51" t="s">
        <v>412</v>
      </c>
      <c r="CG93" s="51" t="s">
        <v>412</v>
      </c>
      <c r="CH93" s="51" t="s">
        <v>412</v>
      </c>
      <c r="CI93" s="51" t="s">
        <v>412</v>
      </c>
      <c r="CJ93" s="51" t="s">
        <v>412</v>
      </c>
      <c r="CK93" s="51" t="s">
        <v>412</v>
      </c>
      <c r="CL93" s="51" t="s">
        <v>412</v>
      </c>
      <c r="CM93" s="51" t="s">
        <v>392</v>
      </c>
      <c r="CN93" s="57" t="s">
        <v>412</v>
      </c>
      <c r="CO93" s="51" t="s">
        <v>412</v>
      </c>
      <c r="CP93" s="51" t="s">
        <v>412</v>
      </c>
      <c r="CQ93" s="51" t="s">
        <v>412</v>
      </c>
      <c r="CR93" s="51" t="s">
        <v>412</v>
      </c>
      <c r="CS93" s="51" t="s">
        <v>412</v>
      </c>
      <c r="CT93" s="51" t="s">
        <v>412</v>
      </c>
      <c r="CU93" s="51" t="s">
        <v>412</v>
      </c>
      <c r="CV93" s="51" t="s">
        <v>396</v>
      </c>
      <c r="CW93" s="57" t="s">
        <v>412</v>
      </c>
      <c r="CX93" s="51" t="s">
        <v>412</v>
      </c>
      <c r="CY93" s="51" t="s">
        <v>398</v>
      </c>
      <c r="CZ93" s="64" t="str">
        <f>IF(_xlfn.XLOOKUP(B93,[2]累计数据!$C$193:$C$245,[2]累计数据!$C$193:$C$245,"N")=B93,"Y","N")</f>
        <v>N</v>
      </c>
      <c r="DA93" s="57" t="s">
        <v>412</v>
      </c>
      <c r="DB93" s="51" t="s">
        <v>412</v>
      </c>
      <c r="DC93" s="59">
        <v>0</v>
      </c>
      <c r="DD93" s="65"/>
      <c r="DE93" s="51"/>
      <c r="DF93" s="51"/>
      <c r="DG93" s="51"/>
      <c r="DH93" s="51"/>
      <c r="DI93" s="51"/>
      <c r="DJ93" s="51"/>
    </row>
    <row r="94" customFormat="1" ht="22.5" customHeight="1" spans="1:114">
      <c r="A94" s="46">
        <v>12630</v>
      </c>
      <c r="B94" s="47" t="s">
        <v>451</v>
      </c>
      <c r="C94" s="48">
        <v>46142</v>
      </c>
      <c r="D94" s="49">
        <f>IF(_xlfn.XLOOKUP(A94,[1]分配表!J:J,[1]分配表!M:M)=0,"未出单",_xlfn.XLOOKUP(A94,[1]分配表!J:J,[1]分配表!M:M))</f>
        <v>46144</v>
      </c>
      <c r="E94" s="50" t="str">
        <f>_xlfn.XLOOKUP(A94,[1]分配表!A:A,[1]分配表!C:C)</f>
        <v>俞东旭</v>
      </c>
      <c r="F94" s="50" t="s">
        <v>44</v>
      </c>
      <c r="G94" s="50" t="s">
        <v>34</v>
      </c>
      <c r="H94" s="51" t="s">
        <v>412</v>
      </c>
      <c r="I94" s="51" t="s">
        <v>412</v>
      </c>
      <c r="J94" s="51" t="s">
        <v>412</v>
      </c>
      <c r="K94" s="51" t="s">
        <v>412</v>
      </c>
      <c r="L94" s="51" t="s">
        <v>412</v>
      </c>
      <c r="M94" s="51" t="s">
        <v>412</v>
      </c>
      <c r="N94" s="51" t="s">
        <v>412</v>
      </c>
      <c r="O94" s="51" t="s">
        <v>412</v>
      </c>
      <c r="P94" s="51">
        <v>1</v>
      </c>
      <c r="Q94" s="52">
        <f t="shared" si="2"/>
        <v>1</v>
      </c>
      <c r="R94" s="57"/>
      <c r="S94" s="51"/>
      <c r="T94" s="51"/>
      <c r="U94" s="51"/>
      <c r="V94" s="51"/>
      <c r="W94" s="51"/>
      <c r="X94" s="51" t="s">
        <v>412</v>
      </c>
      <c r="Y94" s="55" t="s">
        <v>412</v>
      </c>
      <c r="Z94" s="56">
        <v>245</v>
      </c>
      <c r="AA94" s="54">
        <f t="shared" si="3"/>
        <v>245</v>
      </c>
      <c r="AB94" s="57"/>
      <c r="AC94" s="51"/>
      <c r="AD94" s="51"/>
      <c r="AE94" s="51"/>
      <c r="AF94" s="51"/>
      <c r="AG94" s="51" t="s">
        <v>412</v>
      </c>
      <c r="AH94" s="51" t="s">
        <v>412</v>
      </c>
      <c r="AI94" s="51" t="s">
        <v>412</v>
      </c>
      <c r="AJ94" s="51">
        <v>0</v>
      </c>
      <c r="AK94" s="57" t="s">
        <v>412</v>
      </c>
      <c r="AL94" s="51" t="s">
        <v>412</v>
      </c>
      <c r="AM94" s="51" t="s">
        <v>412</v>
      </c>
      <c r="AN94" s="51" t="s">
        <v>412</v>
      </c>
      <c r="AO94" s="51" t="s">
        <v>412</v>
      </c>
      <c r="AP94" s="51" t="s">
        <v>412</v>
      </c>
      <c r="AQ94" s="51" t="s">
        <v>412</v>
      </c>
      <c r="AR94" s="59" t="s">
        <v>412</v>
      </c>
      <c r="AS94" s="59">
        <v>1</v>
      </c>
      <c r="AT94" s="57" t="s">
        <v>412</v>
      </c>
      <c r="AU94" s="51" t="s">
        <v>412</v>
      </c>
      <c r="AV94" s="51" t="s">
        <v>412</v>
      </c>
      <c r="AW94" s="51" t="s">
        <v>412</v>
      </c>
      <c r="AX94" s="51" t="s">
        <v>412</v>
      </c>
      <c r="AY94" s="51" t="s">
        <v>412</v>
      </c>
      <c r="AZ94" s="51" t="s">
        <v>412</v>
      </c>
      <c r="BA94" s="51" t="s">
        <v>412</v>
      </c>
      <c r="BB94" s="62">
        <v>6</v>
      </c>
      <c r="BC94" s="51" t="s">
        <v>412</v>
      </c>
      <c r="BD94" s="51" t="s">
        <v>412</v>
      </c>
      <c r="BE94" s="51" t="s">
        <v>412</v>
      </c>
      <c r="BF94" s="51" t="s">
        <v>412</v>
      </c>
      <c r="BG94" s="51" t="s">
        <v>412</v>
      </c>
      <c r="BH94" s="51" t="s">
        <v>412</v>
      </c>
      <c r="BI94" s="51" t="s">
        <v>412</v>
      </c>
      <c r="BJ94" s="51" t="s">
        <v>412</v>
      </c>
      <c r="BK94" s="54" t="s">
        <v>391</v>
      </c>
      <c r="BL94" s="57" t="s">
        <v>412</v>
      </c>
      <c r="BM94" s="51" t="s">
        <v>412</v>
      </c>
      <c r="BN94" s="51" t="s">
        <v>412</v>
      </c>
      <c r="BO94" s="51" t="s">
        <v>412</v>
      </c>
      <c r="BP94" s="51" t="s">
        <v>412</v>
      </c>
      <c r="BQ94" s="51" t="s">
        <v>412</v>
      </c>
      <c r="BR94" s="51" t="s">
        <v>412</v>
      </c>
      <c r="BS94" s="51" t="s">
        <v>412</v>
      </c>
      <c r="BT94" s="63" t="s">
        <v>392</v>
      </c>
      <c r="BU94" s="57" t="s">
        <v>412</v>
      </c>
      <c r="BV94" s="51" t="s">
        <v>412</v>
      </c>
      <c r="BW94" s="51" t="s">
        <v>412</v>
      </c>
      <c r="BX94" s="51" t="s">
        <v>412</v>
      </c>
      <c r="BY94" s="51" t="s">
        <v>412</v>
      </c>
      <c r="BZ94" s="51" t="s">
        <v>412</v>
      </c>
      <c r="CA94" s="51" t="s">
        <v>412</v>
      </c>
      <c r="CB94" s="51" t="s">
        <v>412</v>
      </c>
      <c r="CC94" s="54" t="s">
        <v>393</v>
      </c>
      <c r="CD94" s="57" t="s">
        <v>412</v>
      </c>
      <c r="CE94" s="51" t="s">
        <v>412</v>
      </c>
      <c r="CF94" s="51" t="s">
        <v>412</v>
      </c>
      <c r="CG94" s="51" t="s">
        <v>412</v>
      </c>
      <c r="CH94" s="51" t="s">
        <v>412</v>
      </c>
      <c r="CI94" s="51" t="s">
        <v>412</v>
      </c>
      <c r="CJ94" s="51" t="s">
        <v>412</v>
      </c>
      <c r="CK94" s="51" t="s">
        <v>412</v>
      </c>
      <c r="CL94" s="51" t="s">
        <v>412</v>
      </c>
      <c r="CM94" s="51" t="s">
        <v>392</v>
      </c>
      <c r="CN94" s="57" t="s">
        <v>412</v>
      </c>
      <c r="CO94" s="51" t="s">
        <v>412</v>
      </c>
      <c r="CP94" s="51" t="s">
        <v>412</v>
      </c>
      <c r="CQ94" s="51" t="s">
        <v>412</v>
      </c>
      <c r="CR94" s="51" t="s">
        <v>412</v>
      </c>
      <c r="CS94" s="51" t="s">
        <v>412</v>
      </c>
      <c r="CT94" s="51" t="s">
        <v>412</v>
      </c>
      <c r="CU94" s="51" t="s">
        <v>412</v>
      </c>
      <c r="CV94" s="51" t="s">
        <v>396</v>
      </c>
      <c r="CW94" s="57" t="s">
        <v>412</v>
      </c>
      <c r="CX94" s="51" t="s">
        <v>412</v>
      </c>
      <c r="CY94" s="51" t="s">
        <v>398</v>
      </c>
      <c r="CZ94" s="64" t="str">
        <f>IF(_xlfn.XLOOKUP(B94,[2]累计数据!$C$193:$C$245,[2]累计数据!$C$193:$C$245,"N")=B94,"Y","N")</f>
        <v>N</v>
      </c>
      <c r="DA94" s="57" t="s">
        <v>412</v>
      </c>
      <c r="DB94" s="51" t="s">
        <v>412</v>
      </c>
      <c r="DC94" s="59">
        <v>0</v>
      </c>
      <c r="DD94" s="65"/>
      <c r="DE94" s="51"/>
      <c r="DF94" s="51"/>
      <c r="DG94" s="51"/>
      <c r="DH94" s="51"/>
      <c r="DI94" s="51"/>
      <c r="DJ94" s="51"/>
    </row>
    <row r="95" customFormat="1" ht="22.5" customHeight="1" spans="1:114">
      <c r="A95" s="46">
        <v>12587</v>
      </c>
      <c r="B95" s="47" t="s">
        <v>265</v>
      </c>
      <c r="C95" s="48">
        <v>46142</v>
      </c>
      <c r="D95" s="49">
        <f>IF(_xlfn.XLOOKUP(A95,[1]分配表!J:J,[1]分配表!M:M)=0,"未出单",_xlfn.XLOOKUP(A95,[1]分配表!J:J,[1]分配表!M:M))</f>
        <v>46144</v>
      </c>
      <c r="E95" s="50" t="str">
        <f>_xlfn.XLOOKUP(A95,[1]分配表!A:A,[1]分配表!C:C)</f>
        <v>章鹏</v>
      </c>
      <c r="F95" s="50" t="s">
        <v>39</v>
      </c>
      <c r="G95" s="50" t="s">
        <v>45</v>
      </c>
      <c r="H95" s="51" t="s">
        <v>412</v>
      </c>
      <c r="I95" s="51" t="s">
        <v>412</v>
      </c>
      <c r="J95" s="51" t="s">
        <v>412</v>
      </c>
      <c r="K95" s="51" t="s">
        <v>412</v>
      </c>
      <c r="L95" s="51" t="s">
        <v>412</v>
      </c>
      <c r="M95" s="51" t="s">
        <v>412</v>
      </c>
      <c r="N95" s="51" t="s">
        <v>412</v>
      </c>
      <c r="O95" s="51" t="s">
        <v>412</v>
      </c>
      <c r="P95" s="51">
        <v>4</v>
      </c>
      <c r="Q95" s="52">
        <f t="shared" si="2"/>
        <v>4</v>
      </c>
      <c r="R95" s="57"/>
      <c r="S95" s="51"/>
      <c r="T95" s="51"/>
      <c r="U95" s="51"/>
      <c r="V95" s="51"/>
      <c r="W95" s="51"/>
      <c r="X95" s="51" t="s">
        <v>412</v>
      </c>
      <c r="Y95" s="55" t="s">
        <v>412</v>
      </c>
      <c r="Z95" s="56">
        <v>152.89</v>
      </c>
      <c r="AA95" s="54">
        <f t="shared" si="3"/>
        <v>152.89</v>
      </c>
      <c r="AB95" s="57"/>
      <c r="AC95" s="51"/>
      <c r="AD95" s="51"/>
      <c r="AE95" s="51"/>
      <c r="AF95" s="51"/>
      <c r="AG95" s="51" t="s">
        <v>412</v>
      </c>
      <c r="AH95" s="51" t="s">
        <v>412</v>
      </c>
      <c r="AI95" s="51" t="s">
        <v>412</v>
      </c>
      <c r="AJ95" s="51">
        <v>2</v>
      </c>
      <c r="AK95" s="57" t="s">
        <v>412</v>
      </c>
      <c r="AL95" s="51" t="s">
        <v>412</v>
      </c>
      <c r="AM95" s="51" t="s">
        <v>412</v>
      </c>
      <c r="AN95" s="51" t="s">
        <v>412</v>
      </c>
      <c r="AO95" s="51" t="s">
        <v>412</v>
      </c>
      <c r="AP95" s="51" t="s">
        <v>412</v>
      </c>
      <c r="AQ95" s="51" t="s">
        <v>412</v>
      </c>
      <c r="AR95" s="59" t="s">
        <v>412</v>
      </c>
      <c r="AS95" s="59">
        <v>0.6</v>
      </c>
      <c r="AT95" s="57" t="s">
        <v>412</v>
      </c>
      <c r="AU95" s="51" t="s">
        <v>412</v>
      </c>
      <c r="AV95" s="51" t="s">
        <v>412</v>
      </c>
      <c r="AW95" s="51" t="s">
        <v>412</v>
      </c>
      <c r="AX95" s="51" t="s">
        <v>412</v>
      </c>
      <c r="AY95" s="51" t="s">
        <v>412</v>
      </c>
      <c r="AZ95" s="51" t="s">
        <v>412</v>
      </c>
      <c r="BA95" s="51" t="s">
        <v>412</v>
      </c>
      <c r="BB95" s="62">
        <v>6</v>
      </c>
      <c r="BC95" s="51" t="s">
        <v>412</v>
      </c>
      <c r="BD95" s="51" t="s">
        <v>412</v>
      </c>
      <c r="BE95" s="51" t="s">
        <v>412</v>
      </c>
      <c r="BF95" s="51" t="s">
        <v>412</v>
      </c>
      <c r="BG95" s="51" t="s">
        <v>412</v>
      </c>
      <c r="BH95" s="51" t="s">
        <v>412</v>
      </c>
      <c r="BI95" s="51" t="s">
        <v>412</v>
      </c>
      <c r="BJ95" s="51" t="s">
        <v>412</v>
      </c>
      <c r="BK95" s="54" t="s">
        <v>391</v>
      </c>
      <c r="BL95" s="57" t="s">
        <v>412</v>
      </c>
      <c r="BM95" s="51" t="s">
        <v>412</v>
      </c>
      <c r="BN95" s="51" t="s">
        <v>412</v>
      </c>
      <c r="BO95" s="51" t="s">
        <v>412</v>
      </c>
      <c r="BP95" s="51" t="s">
        <v>412</v>
      </c>
      <c r="BQ95" s="51" t="s">
        <v>412</v>
      </c>
      <c r="BR95" s="51" t="s">
        <v>412</v>
      </c>
      <c r="BS95" s="51" t="s">
        <v>412</v>
      </c>
      <c r="BT95" s="63" t="s">
        <v>392</v>
      </c>
      <c r="BU95" s="57" t="s">
        <v>412</v>
      </c>
      <c r="BV95" s="51" t="s">
        <v>412</v>
      </c>
      <c r="BW95" s="51" t="s">
        <v>412</v>
      </c>
      <c r="BX95" s="51" t="s">
        <v>412</v>
      </c>
      <c r="BY95" s="51" t="s">
        <v>412</v>
      </c>
      <c r="BZ95" s="51" t="s">
        <v>412</v>
      </c>
      <c r="CA95" s="51" t="s">
        <v>412</v>
      </c>
      <c r="CB95" s="51" t="s">
        <v>412</v>
      </c>
      <c r="CC95" s="54" t="s">
        <v>393</v>
      </c>
      <c r="CD95" s="57" t="s">
        <v>412</v>
      </c>
      <c r="CE95" s="51" t="s">
        <v>412</v>
      </c>
      <c r="CF95" s="51" t="s">
        <v>412</v>
      </c>
      <c r="CG95" s="51" t="s">
        <v>412</v>
      </c>
      <c r="CH95" s="51" t="s">
        <v>412</v>
      </c>
      <c r="CI95" s="51" t="s">
        <v>412</v>
      </c>
      <c r="CJ95" s="51" t="s">
        <v>412</v>
      </c>
      <c r="CK95" s="51" t="s">
        <v>412</v>
      </c>
      <c r="CL95" s="51" t="s">
        <v>412</v>
      </c>
      <c r="CM95" s="51" t="s">
        <v>402</v>
      </c>
      <c r="CN95" s="57" t="s">
        <v>412</v>
      </c>
      <c r="CO95" s="51" t="s">
        <v>412</v>
      </c>
      <c r="CP95" s="51" t="s">
        <v>412</v>
      </c>
      <c r="CQ95" s="51" t="s">
        <v>412</v>
      </c>
      <c r="CR95" s="51" t="s">
        <v>412</v>
      </c>
      <c r="CS95" s="51" t="s">
        <v>412</v>
      </c>
      <c r="CT95" s="51" t="s">
        <v>412</v>
      </c>
      <c r="CU95" s="51" t="s">
        <v>412</v>
      </c>
      <c r="CV95" s="51" t="s">
        <v>396</v>
      </c>
      <c r="CW95" s="57" t="s">
        <v>412</v>
      </c>
      <c r="CX95" s="51" t="s">
        <v>412</v>
      </c>
      <c r="CY95" s="51" t="s">
        <v>391</v>
      </c>
      <c r="CZ95" s="64" t="str">
        <f>IF(_xlfn.XLOOKUP(B95,[2]累计数据!$C$193:$C$245,[2]累计数据!$C$193:$C$245,"N")=B95,"Y","N")</f>
        <v>N</v>
      </c>
      <c r="DA95" s="57" t="s">
        <v>412</v>
      </c>
      <c r="DB95" s="51" t="s">
        <v>412</v>
      </c>
      <c r="DC95" s="59">
        <v>0</v>
      </c>
      <c r="DD95" s="65"/>
      <c r="DE95" s="51"/>
      <c r="DF95" s="51"/>
      <c r="DG95" s="51"/>
      <c r="DH95" s="51"/>
      <c r="DI95" s="51"/>
      <c r="DJ95" s="51"/>
    </row>
    <row r="96" customFormat="1" ht="22.5" customHeight="1" spans="1:114">
      <c r="A96" s="46">
        <v>12569</v>
      </c>
      <c r="B96" s="47" t="s">
        <v>274</v>
      </c>
      <c r="C96" s="48">
        <v>46142</v>
      </c>
      <c r="D96" s="49" t="str">
        <f>IF(_xlfn.XLOOKUP(A96,[1]分配表!J:J,[1]分配表!M:M)=0,"未出单",_xlfn.XLOOKUP(A96,[1]分配表!J:J,[1]分配表!M:M))</f>
        <v>未出单</v>
      </c>
      <c r="E96" s="50" t="str">
        <f>_xlfn.XLOOKUP(A96,[1]分配表!A:A,[1]分配表!C:C)</f>
        <v>张潇</v>
      </c>
      <c r="F96" s="50" t="s">
        <v>52</v>
      </c>
      <c r="G96" s="50" t="s">
        <v>34</v>
      </c>
      <c r="H96" s="51" t="s">
        <v>412</v>
      </c>
      <c r="I96" s="51" t="s">
        <v>412</v>
      </c>
      <c r="J96" s="51" t="s">
        <v>412</v>
      </c>
      <c r="K96" s="51" t="s">
        <v>412</v>
      </c>
      <c r="L96" s="51" t="s">
        <v>412</v>
      </c>
      <c r="M96" s="51" t="s">
        <v>412</v>
      </c>
      <c r="N96" s="51" t="s">
        <v>412</v>
      </c>
      <c r="O96" s="51" t="s">
        <v>412</v>
      </c>
      <c r="P96" s="51">
        <v>0</v>
      </c>
      <c r="Q96" s="52">
        <f t="shared" si="2"/>
        <v>0</v>
      </c>
      <c r="R96" s="57"/>
      <c r="S96" s="51"/>
      <c r="T96" s="51"/>
      <c r="U96" s="51"/>
      <c r="V96" s="51"/>
      <c r="W96" s="51"/>
      <c r="X96" s="51" t="s">
        <v>412</v>
      </c>
      <c r="Y96" s="55" t="s">
        <v>412</v>
      </c>
      <c r="Z96" s="56">
        <v>0</v>
      </c>
      <c r="AA96" s="54">
        <f t="shared" si="3"/>
        <v>0</v>
      </c>
      <c r="AB96" s="57"/>
      <c r="AC96" s="51"/>
      <c r="AD96" s="51"/>
      <c r="AE96" s="51"/>
      <c r="AF96" s="51"/>
      <c r="AG96" s="51" t="s">
        <v>412</v>
      </c>
      <c r="AH96" s="51" t="s">
        <v>412</v>
      </c>
      <c r="AI96" s="51" t="s">
        <v>412</v>
      </c>
      <c r="AJ96" s="51">
        <v>0</v>
      </c>
      <c r="AK96" s="57" t="s">
        <v>412</v>
      </c>
      <c r="AL96" s="51" t="s">
        <v>412</v>
      </c>
      <c r="AM96" s="51" t="s">
        <v>412</v>
      </c>
      <c r="AN96" s="51" t="s">
        <v>412</v>
      </c>
      <c r="AO96" s="51" t="s">
        <v>412</v>
      </c>
      <c r="AP96" s="51" t="s">
        <v>412</v>
      </c>
      <c r="AQ96" s="51" t="s">
        <v>412</v>
      </c>
      <c r="AR96" s="59" t="s">
        <v>412</v>
      </c>
      <c r="AS96" s="59" t="s">
        <v>390</v>
      </c>
      <c r="AT96" s="57" t="s">
        <v>412</v>
      </c>
      <c r="AU96" s="51" t="s">
        <v>412</v>
      </c>
      <c r="AV96" s="51" t="s">
        <v>412</v>
      </c>
      <c r="AW96" s="51" t="s">
        <v>412</v>
      </c>
      <c r="AX96" s="51" t="s">
        <v>412</v>
      </c>
      <c r="AY96" s="51" t="s">
        <v>412</v>
      </c>
      <c r="AZ96" s="51" t="s">
        <v>412</v>
      </c>
      <c r="BA96" s="51" t="s">
        <v>412</v>
      </c>
      <c r="BB96" s="62">
        <v>0</v>
      </c>
      <c r="BC96" s="51" t="s">
        <v>412</v>
      </c>
      <c r="BD96" s="51" t="s">
        <v>412</v>
      </c>
      <c r="BE96" s="51" t="s">
        <v>412</v>
      </c>
      <c r="BF96" s="51" t="s">
        <v>412</v>
      </c>
      <c r="BG96" s="51" t="s">
        <v>412</v>
      </c>
      <c r="BH96" s="51" t="s">
        <v>412</v>
      </c>
      <c r="BI96" s="51" t="s">
        <v>412</v>
      </c>
      <c r="BJ96" s="51" t="s">
        <v>412</v>
      </c>
      <c r="BK96" s="54" t="s">
        <v>120</v>
      </c>
      <c r="BL96" s="57" t="s">
        <v>412</v>
      </c>
      <c r="BM96" s="51" t="s">
        <v>412</v>
      </c>
      <c r="BN96" s="51" t="s">
        <v>412</v>
      </c>
      <c r="BO96" s="51" t="s">
        <v>412</v>
      </c>
      <c r="BP96" s="51" t="s">
        <v>412</v>
      </c>
      <c r="BQ96" s="51" t="s">
        <v>412</v>
      </c>
      <c r="BR96" s="51" t="s">
        <v>412</v>
      </c>
      <c r="BS96" s="51" t="s">
        <v>412</v>
      </c>
      <c r="BT96" s="63" t="s">
        <v>392</v>
      </c>
      <c r="BU96" s="57" t="s">
        <v>412</v>
      </c>
      <c r="BV96" s="51" t="s">
        <v>412</v>
      </c>
      <c r="BW96" s="51" t="s">
        <v>412</v>
      </c>
      <c r="BX96" s="51" t="s">
        <v>412</v>
      </c>
      <c r="BY96" s="51" t="s">
        <v>412</v>
      </c>
      <c r="BZ96" s="51" t="s">
        <v>412</v>
      </c>
      <c r="CA96" s="51" t="s">
        <v>412</v>
      </c>
      <c r="CB96" s="51" t="s">
        <v>412</v>
      </c>
      <c r="CC96" s="54" t="s">
        <v>392</v>
      </c>
      <c r="CD96" s="57" t="s">
        <v>412</v>
      </c>
      <c r="CE96" s="51" t="s">
        <v>412</v>
      </c>
      <c r="CF96" s="51" t="s">
        <v>412</v>
      </c>
      <c r="CG96" s="51" t="s">
        <v>412</v>
      </c>
      <c r="CH96" s="51" t="s">
        <v>412</v>
      </c>
      <c r="CI96" s="51" t="s">
        <v>412</v>
      </c>
      <c r="CJ96" s="51" t="s">
        <v>412</v>
      </c>
      <c r="CK96" s="51" t="s">
        <v>412</v>
      </c>
      <c r="CL96" s="51" t="s">
        <v>412</v>
      </c>
      <c r="CM96" s="51" t="s">
        <v>394</v>
      </c>
      <c r="CN96" s="57" t="s">
        <v>412</v>
      </c>
      <c r="CO96" s="51" t="s">
        <v>412</v>
      </c>
      <c r="CP96" s="51" t="s">
        <v>412</v>
      </c>
      <c r="CQ96" s="51" t="s">
        <v>412</v>
      </c>
      <c r="CR96" s="51" t="s">
        <v>412</v>
      </c>
      <c r="CS96" s="51" t="s">
        <v>412</v>
      </c>
      <c r="CT96" s="51" t="s">
        <v>412</v>
      </c>
      <c r="CU96" s="51" t="s">
        <v>412</v>
      </c>
      <c r="CV96" s="51" t="s">
        <v>396</v>
      </c>
      <c r="CW96" s="57" t="s">
        <v>412</v>
      </c>
      <c r="CX96" s="51" t="s">
        <v>412</v>
      </c>
      <c r="CY96" s="51" t="s">
        <v>391</v>
      </c>
      <c r="CZ96" s="64" t="str">
        <f>IF(_xlfn.XLOOKUP(B96,[2]累计数据!$C$193:$C$245,[2]累计数据!$C$193:$C$245,"N")=B96,"Y","N")</f>
        <v>Y</v>
      </c>
      <c r="DA96" s="57" t="s">
        <v>412</v>
      </c>
      <c r="DB96" s="51" t="s">
        <v>412</v>
      </c>
      <c r="DC96" s="59">
        <v>0</v>
      </c>
      <c r="DD96" s="65"/>
      <c r="DE96" s="51"/>
      <c r="DF96" s="51"/>
      <c r="DG96" s="51"/>
      <c r="DH96" s="51"/>
      <c r="DI96" s="51"/>
      <c r="DJ96" s="51"/>
    </row>
    <row r="97" customFormat="1" ht="22.5" customHeight="1" spans="1:114">
      <c r="A97" s="46">
        <v>12575</v>
      </c>
      <c r="B97" s="47" t="s">
        <v>284</v>
      </c>
      <c r="C97" s="48">
        <v>46142</v>
      </c>
      <c r="D97" s="49">
        <f>IF(_xlfn.XLOOKUP(A97,[1]分配表!J:J,[1]分配表!M:M)=0,"未出单",_xlfn.XLOOKUP(A97,[1]分配表!J:J,[1]分配表!M:M))</f>
        <v>46147</v>
      </c>
      <c r="E97" s="50" t="str">
        <f>_xlfn.XLOOKUP(A97,[1]分配表!A:A,[1]分配表!C:C)</f>
        <v>胡煜星</v>
      </c>
      <c r="F97" s="50" t="s">
        <v>52</v>
      </c>
      <c r="G97" s="50" t="s">
        <v>45</v>
      </c>
      <c r="H97" s="51" t="s">
        <v>412</v>
      </c>
      <c r="I97" s="51" t="s">
        <v>412</v>
      </c>
      <c r="J97" s="51" t="s">
        <v>412</v>
      </c>
      <c r="K97" s="51" t="s">
        <v>412</v>
      </c>
      <c r="L97" s="51" t="s">
        <v>412</v>
      </c>
      <c r="M97" s="51" t="s">
        <v>412</v>
      </c>
      <c r="N97" s="51" t="s">
        <v>412</v>
      </c>
      <c r="O97" s="51" t="s">
        <v>412</v>
      </c>
      <c r="P97" s="51">
        <v>1</v>
      </c>
      <c r="Q97" s="52">
        <f t="shared" si="2"/>
        <v>1</v>
      </c>
      <c r="R97" s="57"/>
      <c r="S97" s="51"/>
      <c r="T97" s="51"/>
      <c r="U97" s="51"/>
      <c r="V97" s="51"/>
      <c r="W97" s="51"/>
      <c r="X97" s="51" t="s">
        <v>412</v>
      </c>
      <c r="Y97" s="55" t="s">
        <v>412</v>
      </c>
      <c r="Z97" s="56">
        <v>65</v>
      </c>
      <c r="AA97" s="54">
        <f t="shared" si="3"/>
        <v>65</v>
      </c>
      <c r="AB97" s="57"/>
      <c r="AC97" s="51"/>
      <c r="AD97" s="51"/>
      <c r="AE97" s="51"/>
      <c r="AF97" s="51"/>
      <c r="AG97" s="51" t="s">
        <v>412</v>
      </c>
      <c r="AH97" s="51" t="s">
        <v>412</v>
      </c>
      <c r="AI97" s="51" t="s">
        <v>412</v>
      </c>
      <c r="AJ97" s="51">
        <v>0</v>
      </c>
      <c r="AK97" s="57" t="s">
        <v>412</v>
      </c>
      <c r="AL97" s="51" t="s">
        <v>412</v>
      </c>
      <c r="AM97" s="51" t="s">
        <v>412</v>
      </c>
      <c r="AN97" s="51" t="s">
        <v>412</v>
      </c>
      <c r="AO97" s="51" t="s">
        <v>412</v>
      </c>
      <c r="AP97" s="51" t="s">
        <v>412</v>
      </c>
      <c r="AQ97" s="51" t="s">
        <v>412</v>
      </c>
      <c r="AR97" s="59" t="s">
        <v>412</v>
      </c>
      <c r="AS97" s="59" t="s">
        <v>390</v>
      </c>
      <c r="AT97" s="57" t="s">
        <v>412</v>
      </c>
      <c r="AU97" s="51" t="s">
        <v>412</v>
      </c>
      <c r="AV97" s="51" t="s">
        <v>412</v>
      </c>
      <c r="AW97" s="51" t="s">
        <v>412</v>
      </c>
      <c r="AX97" s="51" t="s">
        <v>412</v>
      </c>
      <c r="AY97" s="51" t="s">
        <v>412</v>
      </c>
      <c r="AZ97" s="51" t="s">
        <v>412</v>
      </c>
      <c r="BA97" s="51" t="s">
        <v>412</v>
      </c>
      <c r="BB97" s="62">
        <v>6</v>
      </c>
      <c r="BC97" s="51" t="s">
        <v>412</v>
      </c>
      <c r="BD97" s="51" t="s">
        <v>412</v>
      </c>
      <c r="BE97" s="51" t="s">
        <v>412</v>
      </c>
      <c r="BF97" s="51" t="s">
        <v>412</v>
      </c>
      <c r="BG97" s="51" t="s">
        <v>412</v>
      </c>
      <c r="BH97" s="51" t="s">
        <v>412</v>
      </c>
      <c r="BI97" s="51" t="s">
        <v>412</v>
      </c>
      <c r="BJ97" s="51" t="s">
        <v>412</v>
      </c>
      <c r="BK97" s="54" t="s">
        <v>391</v>
      </c>
      <c r="BL97" s="57" t="s">
        <v>412</v>
      </c>
      <c r="BM97" s="51" t="s">
        <v>412</v>
      </c>
      <c r="BN97" s="51" t="s">
        <v>412</v>
      </c>
      <c r="BO97" s="51" t="s">
        <v>412</v>
      </c>
      <c r="BP97" s="51" t="s">
        <v>412</v>
      </c>
      <c r="BQ97" s="51" t="s">
        <v>412</v>
      </c>
      <c r="BR97" s="51" t="s">
        <v>412</v>
      </c>
      <c r="BS97" s="51" t="s">
        <v>412</v>
      </c>
      <c r="BT97" s="63" t="s">
        <v>392</v>
      </c>
      <c r="BU97" s="57" t="s">
        <v>412</v>
      </c>
      <c r="BV97" s="51" t="s">
        <v>412</v>
      </c>
      <c r="BW97" s="51" t="s">
        <v>412</v>
      </c>
      <c r="BX97" s="51" t="s">
        <v>412</v>
      </c>
      <c r="BY97" s="51" t="s">
        <v>412</v>
      </c>
      <c r="BZ97" s="51" t="s">
        <v>412</v>
      </c>
      <c r="CA97" s="51" t="s">
        <v>412</v>
      </c>
      <c r="CB97" s="51" t="s">
        <v>412</v>
      </c>
      <c r="CC97" s="54" t="s">
        <v>393</v>
      </c>
      <c r="CD97" s="57" t="s">
        <v>412</v>
      </c>
      <c r="CE97" s="51" t="s">
        <v>412</v>
      </c>
      <c r="CF97" s="51" t="s">
        <v>412</v>
      </c>
      <c r="CG97" s="51" t="s">
        <v>412</v>
      </c>
      <c r="CH97" s="51" t="s">
        <v>412</v>
      </c>
      <c r="CI97" s="51" t="s">
        <v>412</v>
      </c>
      <c r="CJ97" s="51" t="s">
        <v>412</v>
      </c>
      <c r="CK97" s="51" t="s">
        <v>412</v>
      </c>
      <c r="CL97" s="51" t="s">
        <v>412</v>
      </c>
      <c r="CM97" s="51" t="s">
        <v>392</v>
      </c>
      <c r="CN97" s="57" t="s">
        <v>412</v>
      </c>
      <c r="CO97" s="51" t="s">
        <v>412</v>
      </c>
      <c r="CP97" s="51" t="s">
        <v>412</v>
      </c>
      <c r="CQ97" s="51" t="s">
        <v>412</v>
      </c>
      <c r="CR97" s="51" t="s">
        <v>412</v>
      </c>
      <c r="CS97" s="51" t="s">
        <v>412</v>
      </c>
      <c r="CT97" s="51" t="s">
        <v>412</v>
      </c>
      <c r="CU97" s="51" t="s">
        <v>412</v>
      </c>
      <c r="CV97" s="51" t="s">
        <v>396</v>
      </c>
      <c r="CW97" s="57" t="s">
        <v>412</v>
      </c>
      <c r="CX97" s="51" t="s">
        <v>412</v>
      </c>
      <c r="CY97" s="51" t="s">
        <v>391</v>
      </c>
      <c r="CZ97" s="64" t="str">
        <f>IF(_xlfn.XLOOKUP(B97,[2]累计数据!$C$193:$C$245,[2]累计数据!$C$193:$C$245,"N")=B97,"Y","N")</f>
        <v>Y</v>
      </c>
      <c r="DA97" s="57" t="s">
        <v>412</v>
      </c>
      <c r="DB97" s="51" t="s">
        <v>412</v>
      </c>
      <c r="DC97" s="59">
        <v>0</v>
      </c>
      <c r="DD97" s="65"/>
      <c r="DE97" s="51"/>
      <c r="DF97" s="51"/>
      <c r="DG97" s="51"/>
      <c r="DH97" s="51"/>
      <c r="DI97" s="51"/>
      <c r="DJ97" s="51"/>
    </row>
    <row r="98" customFormat="1" ht="22.5" customHeight="1" spans="1:114">
      <c r="A98" s="46">
        <v>12574</v>
      </c>
      <c r="B98" s="47" t="s">
        <v>279</v>
      </c>
      <c r="C98" s="48">
        <v>46142</v>
      </c>
      <c r="D98" s="49" t="str">
        <f>IF(_xlfn.XLOOKUP(A98,[1]分配表!J:J,[1]分配表!M:M)=0,"未出单",_xlfn.XLOOKUP(A98,[1]分配表!J:J,[1]分配表!M:M))</f>
        <v>未出单</v>
      </c>
      <c r="E98" s="50" t="str">
        <f>_xlfn.XLOOKUP(A98,[1]分配表!A:A,[1]分配表!C:C)</f>
        <v>胡煜星</v>
      </c>
      <c r="F98" s="50" t="s">
        <v>52</v>
      </c>
      <c r="G98" s="50" t="s">
        <v>45</v>
      </c>
      <c r="H98" s="51" t="s">
        <v>412</v>
      </c>
      <c r="I98" s="51" t="s">
        <v>412</v>
      </c>
      <c r="J98" s="51" t="s">
        <v>412</v>
      </c>
      <c r="K98" s="51" t="s">
        <v>412</v>
      </c>
      <c r="L98" s="51" t="s">
        <v>412</v>
      </c>
      <c r="M98" s="51" t="s">
        <v>412</v>
      </c>
      <c r="N98" s="51" t="s">
        <v>412</v>
      </c>
      <c r="O98" s="51" t="s">
        <v>412</v>
      </c>
      <c r="P98" s="51">
        <v>0</v>
      </c>
      <c r="Q98" s="52">
        <f t="shared" si="2"/>
        <v>0</v>
      </c>
      <c r="R98" s="57"/>
      <c r="S98" s="51"/>
      <c r="T98" s="51"/>
      <c r="U98" s="51"/>
      <c r="V98" s="51"/>
      <c r="W98" s="51"/>
      <c r="X98" s="51" t="s">
        <v>412</v>
      </c>
      <c r="Y98" s="55" t="s">
        <v>412</v>
      </c>
      <c r="Z98" s="56">
        <v>0</v>
      </c>
      <c r="AA98" s="54">
        <f t="shared" si="3"/>
        <v>0</v>
      </c>
      <c r="AB98" s="57"/>
      <c r="AC98" s="51"/>
      <c r="AD98" s="51"/>
      <c r="AE98" s="51"/>
      <c r="AF98" s="51"/>
      <c r="AG98" s="51" t="s">
        <v>412</v>
      </c>
      <c r="AH98" s="51" t="s">
        <v>412</v>
      </c>
      <c r="AI98" s="51" t="s">
        <v>412</v>
      </c>
      <c r="AJ98" s="51">
        <v>0</v>
      </c>
      <c r="AK98" s="57" t="s">
        <v>412</v>
      </c>
      <c r="AL98" s="51" t="s">
        <v>412</v>
      </c>
      <c r="AM98" s="51" t="s">
        <v>412</v>
      </c>
      <c r="AN98" s="51" t="s">
        <v>412</v>
      </c>
      <c r="AO98" s="51" t="s">
        <v>412</v>
      </c>
      <c r="AP98" s="51" t="s">
        <v>412</v>
      </c>
      <c r="AQ98" s="51" t="s">
        <v>412</v>
      </c>
      <c r="AR98" s="59" t="s">
        <v>412</v>
      </c>
      <c r="AS98" s="59" t="s">
        <v>390</v>
      </c>
      <c r="AT98" s="57" t="s">
        <v>412</v>
      </c>
      <c r="AU98" s="51" t="s">
        <v>412</v>
      </c>
      <c r="AV98" s="51" t="s">
        <v>412</v>
      </c>
      <c r="AW98" s="51" t="s">
        <v>412</v>
      </c>
      <c r="AX98" s="51" t="s">
        <v>412</v>
      </c>
      <c r="AY98" s="51" t="s">
        <v>412</v>
      </c>
      <c r="AZ98" s="51" t="s">
        <v>412</v>
      </c>
      <c r="BA98" s="51" t="s">
        <v>412</v>
      </c>
      <c r="BB98" s="62">
        <v>6</v>
      </c>
      <c r="BC98" s="51" t="s">
        <v>412</v>
      </c>
      <c r="BD98" s="51" t="s">
        <v>412</v>
      </c>
      <c r="BE98" s="51" t="s">
        <v>412</v>
      </c>
      <c r="BF98" s="51" t="s">
        <v>412</v>
      </c>
      <c r="BG98" s="51" t="s">
        <v>412</v>
      </c>
      <c r="BH98" s="51" t="s">
        <v>412</v>
      </c>
      <c r="BI98" s="51" t="s">
        <v>412</v>
      </c>
      <c r="BJ98" s="51" t="s">
        <v>412</v>
      </c>
      <c r="BK98" s="54" t="s">
        <v>120</v>
      </c>
      <c r="BL98" s="57" t="s">
        <v>412</v>
      </c>
      <c r="BM98" s="51" t="s">
        <v>412</v>
      </c>
      <c r="BN98" s="51" t="s">
        <v>412</v>
      </c>
      <c r="BO98" s="51" t="s">
        <v>412</v>
      </c>
      <c r="BP98" s="51" t="s">
        <v>412</v>
      </c>
      <c r="BQ98" s="51" t="s">
        <v>412</v>
      </c>
      <c r="BR98" s="51" t="s">
        <v>412</v>
      </c>
      <c r="BS98" s="51" t="s">
        <v>412</v>
      </c>
      <c r="BT98" s="63" t="s">
        <v>392</v>
      </c>
      <c r="BU98" s="57" t="s">
        <v>412</v>
      </c>
      <c r="BV98" s="51" t="s">
        <v>412</v>
      </c>
      <c r="BW98" s="51" t="s">
        <v>412</v>
      </c>
      <c r="BX98" s="51" t="s">
        <v>412</v>
      </c>
      <c r="BY98" s="51" t="s">
        <v>412</v>
      </c>
      <c r="BZ98" s="51" t="s">
        <v>412</v>
      </c>
      <c r="CA98" s="51" t="s">
        <v>412</v>
      </c>
      <c r="CB98" s="51" t="s">
        <v>412</v>
      </c>
      <c r="CC98" s="54" t="s">
        <v>393</v>
      </c>
      <c r="CD98" s="57" t="s">
        <v>412</v>
      </c>
      <c r="CE98" s="51" t="s">
        <v>412</v>
      </c>
      <c r="CF98" s="51" t="s">
        <v>412</v>
      </c>
      <c r="CG98" s="51" t="s">
        <v>412</v>
      </c>
      <c r="CH98" s="51" t="s">
        <v>412</v>
      </c>
      <c r="CI98" s="51" t="s">
        <v>412</v>
      </c>
      <c r="CJ98" s="51" t="s">
        <v>412</v>
      </c>
      <c r="CK98" s="51" t="s">
        <v>412</v>
      </c>
      <c r="CL98" s="51" t="s">
        <v>412</v>
      </c>
      <c r="CM98" s="51" t="s">
        <v>394</v>
      </c>
      <c r="CN98" s="57" t="s">
        <v>412</v>
      </c>
      <c r="CO98" s="51" t="s">
        <v>412</v>
      </c>
      <c r="CP98" s="51" t="s">
        <v>412</v>
      </c>
      <c r="CQ98" s="51" t="s">
        <v>412</v>
      </c>
      <c r="CR98" s="51" t="s">
        <v>412</v>
      </c>
      <c r="CS98" s="51" t="s">
        <v>412</v>
      </c>
      <c r="CT98" s="51" t="s">
        <v>412</v>
      </c>
      <c r="CU98" s="51" t="s">
        <v>412</v>
      </c>
      <c r="CV98" s="51" t="s">
        <v>396</v>
      </c>
      <c r="CW98" s="57" t="s">
        <v>412</v>
      </c>
      <c r="CX98" s="51" t="s">
        <v>412</v>
      </c>
      <c r="CY98" s="51" t="s">
        <v>391</v>
      </c>
      <c r="CZ98" s="64" t="str">
        <f>IF(_xlfn.XLOOKUP(B98,[2]累计数据!$C$193:$C$245,[2]累计数据!$C$193:$C$245,"N")=B98,"Y","N")</f>
        <v>Y</v>
      </c>
      <c r="DA98" s="57" t="s">
        <v>412</v>
      </c>
      <c r="DB98" s="51" t="s">
        <v>412</v>
      </c>
      <c r="DC98" s="59">
        <v>0</v>
      </c>
      <c r="DD98" s="65"/>
      <c r="DE98" s="51"/>
      <c r="DF98" s="51"/>
      <c r="DG98" s="51"/>
      <c r="DH98" s="51"/>
      <c r="DI98" s="51"/>
      <c r="DJ98" s="51"/>
    </row>
    <row r="99" customFormat="1" ht="22.5" customHeight="1" spans="1:114">
      <c r="A99" s="46">
        <v>12629</v>
      </c>
      <c r="B99" s="47" t="s">
        <v>268</v>
      </c>
      <c r="C99" s="48">
        <v>46142</v>
      </c>
      <c r="D99" s="49">
        <f>IF(_xlfn.XLOOKUP(A99,[1]分配表!J:J,[1]分配表!M:M)=0,"未出单",_xlfn.XLOOKUP(A99,[1]分配表!J:J,[1]分配表!M:M))</f>
        <v>46146</v>
      </c>
      <c r="E99" s="50" t="str">
        <f>_xlfn.XLOOKUP(A99,[1]分配表!A:A,[1]分配表!C:C)</f>
        <v>王偲涵</v>
      </c>
      <c r="F99" s="50" t="s">
        <v>92</v>
      </c>
      <c r="G99" s="50" t="s">
        <v>34</v>
      </c>
      <c r="H99" s="51" t="s">
        <v>412</v>
      </c>
      <c r="I99" s="51" t="s">
        <v>412</v>
      </c>
      <c r="J99" s="51" t="s">
        <v>412</v>
      </c>
      <c r="K99" s="51" t="s">
        <v>412</v>
      </c>
      <c r="L99" s="51" t="s">
        <v>412</v>
      </c>
      <c r="M99" s="51" t="s">
        <v>412</v>
      </c>
      <c r="N99" s="51" t="s">
        <v>412</v>
      </c>
      <c r="O99" s="51" t="s">
        <v>412</v>
      </c>
      <c r="P99" s="51">
        <v>1</v>
      </c>
      <c r="Q99" s="52">
        <f t="shared" si="2"/>
        <v>1</v>
      </c>
      <c r="R99" s="57"/>
      <c r="S99" s="51"/>
      <c r="T99" s="51"/>
      <c r="U99" s="51"/>
      <c r="V99" s="51"/>
      <c r="W99" s="51"/>
      <c r="X99" s="51" t="s">
        <v>412</v>
      </c>
      <c r="Y99" s="55" t="s">
        <v>412</v>
      </c>
      <c r="Z99" s="56">
        <v>35</v>
      </c>
      <c r="AA99" s="54">
        <f t="shared" si="3"/>
        <v>35</v>
      </c>
      <c r="AB99" s="57"/>
      <c r="AC99" s="51"/>
      <c r="AD99" s="51"/>
      <c r="AE99" s="51"/>
      <c r="AF99" s="51"/>
      <c r="AG99" s="51" t="s">
        <v>412</v>
      </c>
      <c r="AH99" s="51" t="s">
        <v>412</v>
      </c>
      <c r="AI99" s="51" t="s">
        <v>412</v>
      </c>
      <c r="AJ99" s="51">
        <v>9</v>
      </c>
      <c r="AK99" s="57" t="s">
        <v>412</v>
      </c>
      <c r="AL99" s="51" t="s">
        <v>412</v>
      </c>
      <c r="AM99" s="51" t="s">
        <v>412</v>
      </c>
      <c r="AN99" s="51" t="s">
        <v>412</v>
      </c>
      <c r="AO99" s="51" t="s">
        <v>412</v>
      </c>
      <c r="AP99" s="51" t="s">
        <v>412</v>
      </c>
      <c r="AQ99" s="51" t="s">
        <v>412</v>
      </c>
      <c r="AR99" s="59" t="s">
        <v>412</v>
      </c>
      <c r="AS99" s="59">
        <v>0.1</v>
      </c>
      <c r="AT99" s="57" t="s">
        <v>412</v>
      </c>
      <c r="AU99" s="51" t="s">
        <v>412</v>
      </c>
      <c r="AV99" s="51" t="s">
        <v>412</v>
      </c>
      <c r="AW99" s="51" t="s">
        <v>412</v>
      </c>
      <c r="AX99" s="51" t="s">
        <v>412</v>
      </c>
      <c r="AY99" s="51" t="s">
        <v>412</v>
      </c>
      <c r="AZ99" s="51" t="s">
        <v>412</v>
      </c>
      <c r="BA99" s="51" t="s">
        <v>412</v>
      </c>
      <c r="BB99" s="62">
        <v>6</v>
      </c>
      <c r="BC99" s="51" t="s">
        <v>412</v>
      </c>
      <c r="BD99" s="51" t="s">
        <v>412</v>
      </c>
      <c r="BE99" s="51" t="s">
        <v>412</v>
      </c>
      <c r="BF99" s="51" t="s">
        <v>412</v>
      </c>
      <c r="BG99" s="51" t="s">
        <v>412</v>
      </c>
      <c r="BH99" s="51" t="s">
        <v>412</v>
      </c>
      <c r="BI99" s="51" t="s">
        <v>412</v>
      </c>
      <c r="BJ99" s="51" t="s">
        <v>412</v>
      </c>
      <c r="BK99" s="54" t="s">
        <v>391</v>
      </c>
      <c r="BL99" s="57" t="s">
        <v>412</v>
      </c>
      <c r="BM99" s="51" t="s">
        <v>412</v>
      </c>
      <c r="BN99" s="51" t="s">
        <v>412</v>
      </c>
      <c r="BO99" s="51" t="s">
        <v>412</v>
      </c>
      <c r="BP99" s="51" t="s">
        <v>412</v>
      </c>
      <c r="BQ99" s="51" t="s">
        <v>412</v>
      </c>
      <c r="BR99" s="51" t="s">
        <v>412</v>
      </c>
      <c r="BS99" s="51" t="s">
        <v>412</v>
      </c>
      <c r="BT99" s="63" t="s">
        <v>392</v>
      </c>
      <c r="BU99" s="57" t="s">
        <v>412</v>
      </c>
      <c r="BV99" s="51" t="s">
        <v>412</v>
      </c>
      <c r="BW99" s="51" t="s">
        <v>412</v>
      </c>
      <c r="BX99" s="51" t="s">
        <v>412</v>
      </c>
      <c r="BY99" s="51" t="s">
        <v>412</v>
      </c>
      <c r="BZ99" s="51" t="s">
        <v>412</v>
      </c>
      <c r="CA99" s="51" t="s">
        <v>412</v>
      </c>
      <c r="CB99" s="51" t="s">
        <v>412</v>
      </c>
      <c r="CC99" s="54" t="s">
        <v>393</v>
      </c>
      <c r="CD99" s="57" t="s">
        <v>412</v>
      </c>
      <c r="CE99" s="51" t="s">
        <v>412</v>
      </c>
      <c r="CF99" s="51" t="s">
        <v>412</v>
      </c>
      <c r="CG99" s="51" t="s">
        <v>412</v>
      </c>
      <c r="CH99" s="51" t="s">
        <v>412</v>
      </c>
      <c r="CI99" s="51" t="s">
        <v>412</v>
      </c>
      <c r="CJ99" s="51" t="s">
        <v>412</v>
      </c>
      <c r="CK99" s="51" t="s">
        <v>412</v>
      </c>
      <c r="CL99" s="51" t="s">
        <v>412</v>
      </c>
      <c r="CM99" s="51" t="s">
        <v>402</v>
      </c>
      <c r="CN99" s="57" t="s">
        <v>412</v>
      </c>
      <c r="CO99" s="51" t="s">
        <v>412</v>
      </c>
      <c r="CP99" s="51" t="s">
        <v>412</v>
      </c>
      <c r="CQ99" s="51" t="s">
        <v>412</v>
      </c>
      <c r="CR99" s="51" t="s">
        <v>412</v>
      </c>
      <c r="CS99" s="51" t="s">
        <v>412</v>
      </c>
      <c r="CT99" s="51" t="s">
        <v>412</v>
      </c>
      <c r="CU99" s="51" t="s">
        <v>412</v>
      </c>
      <c r="CV99" s="51" t="s">
        <v>396</v>
      </c>
      <c r="CW99" s="57" t="s">
        <v>412</v>
      </c>
      <c r="CX99" s="51" t="s">
        <v>412</v>
      </c>
      <c r="CY99" s="51" t="s">
        <v>391</v>
      </c>
      <c r="CZ99" s="64" t="str">
        <f>IF(_xlfn.XLOOKUP(B99,[2]累计数据!$C$193:$C$245,[2]累计数据!$C$193:$C$245,"N")=B99,"Y","N")</f>
        <v>Y</v>
      </c>
      <c r="DA99" s="57" t="s">
        <v>412</v>
      </c>
      <c r="DB99" s="51" t="s">
        <v>412</v>
      </c>
      <c r="DC99" s="59">
        <v>0</v>
      </c>
      <c r="DD99" s="65"/>
      <c r="DE99" s="51"/>
      <c r="DF99" s="51"/>
      <c r="DG99" s="51"/>
      <c r="DH99" s="51"/>
      <c r="DI99" s="51"/>
      <c r="DJ99" s="51"/>
    </row>
    <row r="100" customFormat="1" ht="22.5" customHeight="1" spans="1:114">
      <c r="A100" s="46">
        <v>12591</v>
      </c>
      <c r="B100" s="47" t="s">
        <v>271</v>
      </c>
      <c r="C100" s="48">
        <v>46142</v>
      </c>
      <c r="D100" s="49" t="str">
        <f>IF(_xlfn.XLOOKUP(A100,[1]分配表!J:J,[1]分配表!M:M)=0,"未出单",_xlfn.XLOOKUP(A100,[1]分配表!J:J,[1]分配表!M:M))</f>
        <v>未出单</v>
      </c>
      <c r="E100" s="50" t="str">
        <f>_xlfn.XLOOKUP(A100,[1]分配表!A:A,[1]分配表!C:C)</f>
        <v>王偲涵</v>
      </c>
      <c r="F100" s="50" t="s">
        <v>92</v>
      </c>
      <c r="G100" s="50" t="s">
        <v>34</v>
      </c>
      <c r="H100" s="51" t="s">
        <v>412</v>
      </c>
      <c r="I100" s="51" t="s">
        <v>412</v>
      </c>
      <c r="J100" s="51" t="s">
        <v>412</v>
      </c>
      <c r="K100" s="51" t="s">
        <v>412</v>
      </c>
      <c r="L100" s="51" t="s">
        <v>412</v>
      </c>
      <c r="M100" s="51" t="s">
        <v>412</v>
      </c>
      <c r="N100" s="51" t="s">
        <v>412</v>
      </c>
      <c r="O100" s="51" t="s">
        <v>412</v>
      </c>
      <c r="P100" s="51">
        <v>0</v>
      </c>
      <c r="Q100" s="52">
        <f t="shared" si="2"/>
        <v>0</v>
      </c>
      <c r="R100" s="57"/>
      <c r="S100" s="51"/>
      <c r="T100" s="51"/>
      <c r="U100" s="51"/>
      <c r="V100" s="51"/>
      <c r="W100" s="51"/>
      <c r="X100" s="51" t="s">
        <v>412</v>
      </c>
      <c r="Y100" s="55" t="s">
        <v>412</v>
      </c>
      <c r="Z100" s="56">
        <v>0</v>
      </c>
      <c r="AA100" s="54">
        <f t="shared" si="3"/>
        <v>0</v>
      </c>
      <c r="AB100" s="57"/>
      <c r="AC100" s="51"/>
      <c r="AD100" s="51"/>
      <c r="AE100" s="51"/>
      <c r="AF100" s="51"/>
      <c r="AG100" s="51" t="s">
        <v>412</v>
      </c>
      <c r="AH100" s="51" t="s">
        <v>412</v>
      </c>
      <c r="AI100" s="51" t="s">
        <v>412</v>
      </c>
      <c r="AJ100" s="51">
        <v>1</v>
      </c>
      <c r="AK100" s="57" t="s">
        <v>412</v>
      </c>
      <c r="AL100" s="51" t="s">
        <v>412</v>
      </c>
      <c r="AM100" s="51" t="s">
        <v>412</v>
      </c>
      <c r="AN100" s="51" t="s">
        <v>412</v>
      </c>
      <c r="AO100" s="51" t="s">
        <v>412</v>
      </c>
      <c r="AP100" s="51" t="s">
        <v>412</v>
      </c>
      <c r="AQ100" s="51" t="s">
        <v>412</v>
      </c>
      <c r="AR100" s="59" t="s">
        <v>412</v>
      </c>
      <c r="AS100" s="59">
        <v>0</v>
      </c>
      <c r="AT100" s="57" t="s">
        <v>412</v>
      </c>
      <c r="AU100" s="51" t="s">
        <v>412</v>
      </c>
      <c r="AV100" s="51" t="s">
        <v>412</v>
      </c>
      <c r="AW100" s="51" t="s">
        <v>412</v>
      </c>
      <c r="AX100" s="51" t="s">
        <v>412</v>
      </c>
      <c r="AY100" s="51" t="s">
        <v>412</v>
      </c>
      <c r="AZ100" s="51" t="s">
        <v>412</v>
      </c>
      <c r="BA100" s="51" t="s">
        <v>412</v>
      </c>
      <c r="BB100" s="62">
        <v>6</v>
      </c>
      <c r="BC100" s="51" t="s">
        <v>412</v>
      </c>
      <c r="BD100" s="51" t="s">
        <v>412</v>
      </c>
      <c r="BE100" s="51" t="s">
        <v>412</v>
      </c>
      <c r="BF100" s="51" t="s">
        <v>412</v>
      </c>
      <c r="BG100" s="51" t="s">
        <v>412</v>
      </c>
      <c r="BH100" s="51" t="s">
        <v>412</v>
      </c>
      <c r="BI100" s="51" t="s">
        <v>412</v>
      </c>
      <c r="BJ100" s="51" t="s">
        <v>412</v>
      </c>
      <c r="BK100" s="54" t="s">
        <v>120</v>
      </c>
      <c r="BL100" s="57" t="s">
        <v>412</v>
      </c>
      <c r="BM100" s="51" t="s">
        <v>412</v>
      </c>
      <c r="BN100" s="51" t="s">
        <v>412</v>
      </c>
      <c r="BO100" s="51" t="s">
        <v>412</v>
      </c>
      <c r="BP100" s="51" t="s">
        <v>412</v>
      </c>
      <c r="BQ100" s="51" t="s">
        <v>412</v>
      </c>
      <c r="BR100" s="51" t="s">
        <v>412</v>
      </c>
      <c r="BS100" s="51" t="s">
        <v>412</v>
      </c>
      <c r="BT100" s="63" t="s">
        <v>392</v>
      </c>
      <c r="BU100" s="57" t="s">
        <v>412</v>
      </c>
      <c r="BV100" s="51" t="s">
        <v>412</v>
      </c>
      <c r="BW100" s="51" t="s">
        <v>412</v>
      </c>
      <c r="BX100" s="51" t="s">
        <v>412</v>
      </c>
      <c r="BY100" s="51" t="s">
        <v>412</v>
      </c>
      <c r="BZ100" s="51" t="s">
        <v>412</v>
      </c>
      <c r="CA100" s="51" t="s">
        <v>412</v>
      </c>
      <c r="CB100" s="51" t="s">
        <v>412</v>
      </c>
      <c r="CC100" s="54" t="s">
        <v>393</v>
      </c>
      <c r="CD100" s="57" t="s">
        <v>412</v>
      </c>
      <c r="CE100" s="51" t="s">
        <v>412</v>
      </c>
      <c r="CF100" s="51" t="s">
        <v>412</v>
      </c>
      <c r="CG100" s="51" t="s">
        <v>412</v>
      </c>
      <c r="CH100" s="51" t="s">
        <v>412</v>
      </c>
      <c r="CI100" s="51" t="s">
        <v>412</v>
      </c>
      <c r="CJ100" s="51" t="s">
        <v>412</v>
      </c>
      <c r="CK100" s="51" t="s">
        <v>412</v>
      </c>
      <c r="CL100" s="51" t="s">
        <v>412</v>
      </c>
      <c r="CM100" s="51" t="s">
        <v>402</v>
      </c>
      <c r="CN100" s="57" t="s">
        <v>412</v>
      </c>
      <c r="CO100" s="51" t="s">
        <v>412</v>
      </c>
      <c r="CP100" s="51" t="s">
        <v>412</v>
      </c>
      <c r="CQ100" s="51" t="s">
        <v>412</v>
      </c>
      <c r="CR100" s="51" t="s">
        <v>412</v>
      </c>
      <c r="CS100" s="51" t="s">
        <v>412</v>
      </c>
      <c r="CT100" s="51" t="s">
        <v>412</v>
      </c>
      <c r="CU100" s="51" t="s">
        <v>412</v>
      </c>
      <c r="CV100" s="51" t="s">
        <v>396</v>
      </c>
      <c r="CW100" s="57" t="s">
        <v>412</v>
      </c>
      <c r="CX100" s="51" t="s">
        <v>412</v>
      </c>
      <c r="CY100" s="51" t="s">
        <v>391</v>
      </c>
      <c r="CZ100" s="64" t="str">
        <f>IF(_xlfn.XLOOKUP(B100,[2]累计数据!$C$193:$C$245,[2]累计数据!$C$193:$C$245,"N")=B100,"Y","N")</f>
        <v>Y</v>
      </c>
      <c r="DA100" s="57" t="s">
        <v>412</v>
      </c>
      <c r="DB100" s="51" t="s">
        <v>412</v>
      </c>
      <c r="DC100" s="59">
        <v>0</v>
      </c>
      <c r="DD100" s="65"/>
      <c r="DE100" s="51"/>
      <c r="DF100" s="51"/>
      <c r="DG100" s="51"/>
      <c r="DH100" s="51"/>
      <c r="DI100" s="51"/>
      <c r="DJ100" s="51"/>
    </row>
    <row r="101" customFormat="1" ht="22.5" customHeight="1" spans="1:114">
      <c r="A101" s="46">
        <v>12606</v>
      </c>
      <c r="B101" s="47" t="s">
        <v>277</v>
      </c>
      <c r="C101" s="48">
        <v>46142</v>
      </c>
      <c r="D101" s="49" t="str">
        <f>IF(_xlfn.XLOOKUP(A101,[1]分配表!J:J,[1]分配表!M:M)=0,"未出单",_xlfn.XLOOKUP(A101,[1]分配表!J:J,[1]分配表!M:M))</f>
        <v>未出单</v>
      </c>
      <c r="E101" s="50" t="str">
        <f>_xlfn.XLOOKUP(A101,[1]分配表!A:A,[1]分配表!C:C)</f>
        <v>王偲涵</v>
      </c>
      <c r="F101" s="50" t="s">
        <v>92</v>
      </c>
      <c r="G101" s="50" t="s">
        <v>34</v>
      </c>
      <c r="H101" s="51" t="s">
        <v>412</v>
      </c>
      <c r="I101" s="51" t="s">
        <v>412</v>
      </c>
      <c r="J101" s="51" t="s">
        <v>412</v>
      </c>
      <c r="K101" s="51" t="s">
        <v>412</v>
      </c>
      <c r="L101" s="51" t="s">
        <v>412</v>
      </c>
      <c r="M101" s="51" t="s">
        <v>412</v>
      </c>
      <c r="N101" s="51" t="s">
        <v>412</v>
      </c>
      <c r="O101" s="51" t="s">
        <v>412</v>
      </c>
      <c r="P101" s="51">
        <v>0</v>
      </c>
      <c r="Q101" s="52">
        <f t="shared" si="2"/>
        <v>0</v>
      </c>
      <c r="R101" s="57"/>
      <c r="S101" s="51"/>
      <c r="T101" s="51"/>
      <c r="U101" s="51"/>
      <c r="V101" s="51"/>
      <c r="W101" s="51"/>
      <c r="X101" s="51" t="s">
        <v>412</v>
      </c>
      <c r="Y101" s="55" t="s">
        <v>412</v>
      </c>
      <c r="Z101" s="56">
        <v>0</v>
      </c>
      <c r="AA101" s="54">
        <f t="shared" si="3"/>
        <v>0</v>
      </c>
      <c r="AB101" s="57"/>
      <c r="AC101" s="51"/>
      <c r="AD101" s="51"/>
      <c r="AE101" s="51"/>
      <c r="AF101" s="51"/>
      <c r="AG101" s="51" t="s">
        <v>412</v>
      </c>
      <c r="AH101" s="51" t="s">
        <v>412</v>
      </c>
      <c r="AI101" s="51" t="s">
        <v>412</v>
      </c>
      <c r="AJ101" s="51">
        <v>0</v>
      </c>
      <c r="AK101" s="57" t="s">
        <v>412</v>
      </c>
      <c r="AL101" s="51" t="s">
        <v>412</v>
      </c>
      <c r="AM101" s="51" t="s">
        <v>412</v>
      </c>
      <c r="AN101" s="51" t="s">
        <v>412</v>
      </c>
      <c r="AO101" s="51" t="s">
        <v>412</v>
      </c>
      <c r="AP101" s="51" t="s">
        <v>412</v>
      </c>
      <c r="AQ101" s="51" t="s">
        <v>412</v>
      </c>
      <c r="AR101" s="59" t="s">
        <v>412</v>
      </c>
      <c r="AS101" s="59" t="s">
        <v>390</v>
      </c>
      <c r="AT101" s="57" t="s">
        <v>412</v>
      </c>
      <c r="AU101" s="51" t="s">
        <v>412</v>
      </c>
      <c r="AV101" s="51" t="s">
        <v>412</v>
      </c>
      <c r="AW101" s="51" t="s">
        <v>412</v>
      </c>
      <c r="AX101" s="51" t="s">
        <v>412</v>
      </c>
      <c r="AY101" s="51" t="s">
        <v>412</v>
      </c>
      <c r="AZ101" s="51" t="s">
        <v>412</v>
      </c>
      <c r="BA101" s="51" t="s">
        <v>412</v>
      </c>
      <c r="BB101" s="62">
        <v>6</v>
      </c>
      <c r="BC101" s="51" t="s">
        <v>412</v>
      </c>
      <c r="BD101" s="51" t="s">
        <v>412</v>
      </c>
      <c r="BE101" s="51" t="s">
        <v>412</v>
      </c>
      <c r="BF101" s="51" t="s">
        <v>412</v>
      </c>
      <c r="BG101" s="51" t="s">
        <v>412</v>
      </c>
      <c r="BH101" s="51" t="s">
        <v>412</v>
      </c>
      <c r="BI101" s="51" t="s">
        <v>412</v>
      </c>
      <c r="BJ101" s="51" t="s">
        <v>412</v>
      </c>
      <c r="BK101" s="54" t="s">
        <v>120</v>
      </c>
      <c r="BL101" s="57" t="s">
        <v>412</v>
      </c>
      <c r="BM101" s="51" t="s">
        <v>412</v>
      </c>
      <c r="BN101" s="51" t="s">
        <v>412</v>
      </c>
      <c r="BO101" s="51" t="s">
        <v>412</v>
      </c>
      <c r="BP101" s="51" t="s">
        <v>412</v>
      </c>
      <c r="BQ101" s="51" t="s">
        <v>412</v>
      </c>
      <c r="BR101" s="51" t="s">
        <v>412</v>
      </c>
      <c r="BS101" s="51" t="s">
        <v>412</v>
      </c>
      <c r="BT101" s="63" t="s">
        <v>392</v>
      </c>
      <c r="BU101" s="57" t="s">
        <v>412</v>
      </c>
      <c r="BV101" s="51" t="s">
        <v>412</v>
      </c>
      <c r="BW101" s="51" t="s">
        <v>412</v>
      </c>
      <c r="BX101" s="51" t="s">
        <v>412</v>
      </c>
      <c r="BY101" s="51" t="s">
        <v>412</v>
      </c>
      <c r="BZ101" s="51" t="s">
        <v>412</v>
      </c>
      <c r="CA101" s="51" t="s">
        <v>412</v>
      </c>
      <c r="CB101" s="51" t="s">
        <v>412</v>
      </c>
      <c r="CC101" s="54" t="s">
        <v>393</v>
      </c>
      <c r="CD101" s="57" t="s">
        <v>412</v>
      </c>
      <c r="CE101" s="51" t="s">
        <v>412</v>
      </c>
      <c r="CF101" s="51" t="s">
        <v>412</v>
      </c>
      <c r="CG101" s="51" t="s">
        <v>412</v>
      </c>
      <c r="CH101" s="51" t="s">
        <v>412</v>
      </c>
      <c r="CI101" s="51" t="s">
        <v>412</v>
      </c>
      <c r="CJ101" s="51" t="s">
        <v>412</v>
      </c>
      <c r="CK101" s="51" t="s">
        <v>412</v>
      </c>
      <c r="CL101" s="51" t="s">
        <v>412</v>
      </c>
      <c r="CM101" s="51" t="s">
        <v>394</v>
      </c>
      <c r="CN101" s="57" t="s">
        <v>412</v>
      </c>
      <c r="CO101" s="51" t="s">
        <v>412</v>
      </c>
      <c r="CP101" s="51" t="s">
        <v>412</v>
      </c>
      <c r="CQ101" s="51" t="s">
        <v>412</v>
      </c>
      <c r="CR101" s="51" t="s">
        <v>412</v>
      </c>
      <c r="CS101" s="51" t="s">
        <v>412</v>
      </c>
      <c r="CT101" s="51" t="s">
        <v>412</v>
      </c>
      <c r="CU101" s="51" t="s">
        <v>412</v>
      </c>
      <c r="CV101" s="51" t="s">
        <v>396</v>
      </c>
      <c r="CW101" s="57" t="s">
        <v>412</v>
      </c>
      <c r="CX101" s="51" t="s">
        <v>412</v>
      </c>
      <c r="CY101" s="51" t="s">
        <v>391</v>
      </c>
      <c r="CZ101" s="64" t="str">
        <f>IF(_xlfn.XLOOKUP(B101,[2]累计数据!$C$193:$C$245,[2]累计数据!$C$193:$C$245,"N")=B101,"Y","N")</f>
        <v>Y</v>
      </c>
      <c r="DA101" s="57" t="s">
        <v>412</v>
      </c>
      <c r="DB101" s="51" t="s">
        <v>412</v>
      </c>
      <c r="DC101" s="59">
        <v>0</v>
      </c>
      <c r="DD101" s="65"/>
      <c r="DE101" s="51"/>
      <c r="DF101" s="51"/>
      <c r="DG101" s="51"/>
      <c r="DH101" s="51"/>
      <c r="DI101" s="51"/>
      <c r="DJ101" s="51"/>
    </row>
    <row r="102" customFormat="1" ht="22.5" customHeight="1" spans="1:114">
      <c r="A102" s="46">
        <v>12614</v>
      </c>
      <c r="B102" s="47" t="s">
        <v>287</v>
      </c>
      <c r="C102" s="48">
        <v>46142</v>
      </c>
      <c r="D102" s="49" t="str">
        <f>IF(_xlfn.XLOOKUP(A102,[1]分配表!J:J,[1]分配表!M:M)=0,"未出单",_xlfn.XLOOKUP(A102,[1]分配表!J:J,[1]分配表!M:M))</f>
        <v>未出单</v>
      </c>
      <c r="E102" s="50" t="s">
        <v>96</v>
      </c>
      <c r="F102" s="50" t="s">
        <v>97</v>
      </c>
      <c r="G102" s="50" t="s">
        <v>34</v>
      </c>
      <c r="H102" s="51" t="s">
        <v>412</v>
      </c>
      <c r="I102" s="51" t="s">
        <v>412</v>
      </c>
      <c r="J102" s="51" t="s">
        <v>412</v>
      </c>
      <c r="K102" s="51" t="s">
        <v>412</v>
      </c>
      <c r="L102" s="51" t="s">
        <v>412</v>
      </c>
      <c r="M102" s="51" t="s">
        <v>412</v>
      </c>
      <c r="N102" s="51" t="s">
        <v>412</v>
      </c>
      <c r="O102" s="51" t="s">
        <v>412</v>
      </c>
      <c r="P102" s="51">
        <v>0</v>
      </c>
      <c r="Q102" s="52">
        <f t="shared" si="2"/>
        <v>0</v>
      </c>
      <c r="R102" s="57"/>
      <c r="S102" s="51"/>
      <c r="T102" s="51"/>
      <c r="U102" s="51"/>
      <c r="V102" s="51"/>
      <c r="W102" s="51"/>
      <c r="X102" s="51" t="s">
        <v>412</v>
      </c>
      <c r="Y102" s="55" t="s">
        <v>412</v>
      </c>
      <c r="Z102" s="56">
        <v>0</v>
      </c>
      <c r="AA102" s="54">
        <f t="shared" si="3"/>
        <v>0</v>
      </c>
      <c r="AB102" s="57"/>
      <c r="AC102" s="51"/>
      <c r="AD102" s="51"/>
      <c r="AE102" s="51"/>
      <c r="AF102" s="51"/>
      <c r="AG102" s="51" t="s">
        <v>412</v>
      </c>
      <c r="AH102" s="51" t="s">
        <v>412</v>
      </c>
      <c r="AI102" s="51" t="s">
        <v>412</v>
      </c>
      <c r="AJ102" s="51">
        <v>0</v>
      </c>
      <c r="AK102" s="57" t="s">
        <v>412</v>
      </c>
      <c r="AL102" s="51" t="s">
        <v>412</v>
      </c>
      <c r="AM102" s="51" t="s">
        <v>412</v>
      </c>
      <c r="AN102" s="51" t="s">
        <v>412</v>
      </c>
      <c r="AO102" s="51" t="s">
        <v>412</v>
      </c>
      <c r="AP102" s="51" t="s">
        <v>412</v>
      </c>
      <c r="AQ102" s="51" t="s">
        <v>412</v>
      </c>
      <c r="AR102" s="59" t="s">
        <v>412</v>
      </c>
      <c r="AS102" s="59" t="s">
        <v>390</v>
      </c>
      <c r="AT102" s="57" t="s">
        <v>412</v>
      </c>
      <c r="AU102" s="51" t="s">
        <v>412</v>
      </c>
      <c r="AV102" s="51" t="s">
        <v>412</v>
      </c>
      <c r="AW102" s="51" t="s">
        <v>412</v>
      </c>
      <c r="AX102" s="51" t="s">
        <v>412</v>
      </c>
      <c r="AY102" s="51" t="s">
        <v>412</v>
      </c>
      <c r="AZ102" s="51" t="s">
        <v>412</v>
      </c>
      <c r="BA102" s="51" t="s">
        <v>412</v>
      </c>
      <c r="BB102" s="62">
        <v>6</v>
      </c>
      <c r="BC102" s="51" t="s">
        <v>412</v>
      </c>
      <c r="BD102" s="51" t="s">
        <v>412</v>
      </c>
      <c r="BE102" s="51" t="s">
        <v>412</v>
      </c>
      <c r="BF102" s="51" t="s">
        <v>412</v>
      </c>
      <c r="BG102" s="51" t="s">
        <v>412</v>
      </c>
      <c r="BH102" s="51" t="s">
        <v>412</v>
      </c>
      <c r="BI102" s="51" t="s">
        <v>412</v>
      </c>
      <c r="BJ102" s="51" t="s">
        <v>412</v>
      </c>
      <c r="BK102" s="54" t="s">
        <v>120</v>
      </c>
      <c r="BL102" s="57" t="s">
        <v>412</v>
      </c>
      <c r="BM102" s="51" t="s">
        <v>412</v>
      </c>
      <c r="BN102" s="51" t="s">
        <v>412</v>
      </c>
      <c r="BO102" s="51" t="s">
        <v>412</v>
      </c>
      <c r="BP102" s="51" t="s">
        <v>412</v>
      </c>
      <c r="BQ102" s="51" t="s">
        <v>412</v>
      </c>
      <c r="BR102" s="51" t="s">
        <v>412</v>
      </c>
      <c r="BS102" s="51" t="s">
        <v>412</v>
      </c>
      <c r="BT102" s="63" t="s">
        <v>392</v>
      </c>
      <c r="BU102" s="57" t="s">
        <v>412</v>
      </c>
      <c r="BV102" s="51" t="s">
        <v>412</v>
      </c>
      <c r="BW102" s="51" t="s">
        <v>412</v>
      </c>
      <c r="BX102" s="51" t="s">
        <v>412</v>
      </c>
      <c r="BY102" s="51" t="s">
        <v>412</v>
      </c>
      <c r="BZ102" s="51" t="s">
        <v>412</v>
      </c>
      <c r="CA102" s="51" t="s">
        <v>412</v>
      </c>
      <c r="CB102" s="51" t="s">
        <v>412</v>
      </c>
      <c r="CC102" s="54" t="s">
        <v>393</v>
      </c>
      <c r="CD102" s="57" t="s">
        <v>412</v>
      </c>
      <c r="CE102" s="51" t="s">
        <v>412</v>
      </c>
      <c r="CF102" s="51" t="s">
        <v>412</v>
      </c>
      <c r="CG102" s="51" t="s">
        <v>412</v>
      </c>
      <c r="CH102" s="51" t="s">
        <v>412</v>
      </c>
      <c r="CI102" s="51" t="s">
        <v>412</v>
      </c>
      <c r="CJ102" s="51" t="s">
        <v>412</v>
      </c>
      <c r="CK102" s="51" t="s">
        <v>412</v>
      </c>
      <c r="CL102" s="51" t="s">
        <v>412</v>
      </c>
      <c r="CM102" s="51" t="s">
        <v>394</v>
      </c>
      <c r="CN102" s="57" t="s">
        <v>412</v>
      </c>
      <c r="CO102" s="51" t="s">
        <v>412</v>
      </c>
      <c r="CP102" s="51" t="s">
        <v>412</v>
      </c>
      <c r="CQ102" s="51" t="s">
        <v>412</v>
      </c>
      <c r="CR102" s="51" t="s">
        <v>412</v>
      </c>
      <c r="CS102" s="51" t="s">
        <v>412</v>
      </c>
      <c r="CT102" s="51" t="s">
        <v>412</v>
      </c>
      <c r="CU102" s="51" t="s">
        <v>412</v>
      </c>
      <c r="CV102" s="51" t="s">
        <v>396</v>
      </c>
      <c r="CW102" s="57" t="s">
        <v>412</v>
      </c>
      <c r="CX102" s="51" t="s">
        <v>412</v>
      </c>
      <c r="CY102" s="51" t="s">
        <v>391</v>
      </c>
      <c r="CZ102" s="64" t="str">
        <f>IF(_xlfn.XLOOKUP(B102,[2]累计数据!$C$193:$C$245,[2]累计数据!$C$193:$C$245,"N")=B102,"Y","N")</f>
        <v>Y</v>
      </c>
      <c r="DA102" s="57" t="s">
        <v>412</v>
      </c>
      <c r="DB102" s="51" t="s">
        <v>412</v>
      </c>
      <c r="DC102" s="59">
        <v>0</v>
      </c>
      <c r="DD102" s="65"/>
      <c r="DE102" s="51"/>
      <c r="DF102" s="51"/>
      <c r="DG102" s="51"/>
      <c r="DH102" s="51"/>
      <c r="DI102" s="51"/>
      <c r="DJ102" s="51"/>
    </row>
    <row r="103" customFormat="1" ht="22.5" customHeight="1" spans="1:114">
      <c r="A103" s="46">
        <v>12532</v>
      </c>
      <c r="B103" s="47" t="s">
        <v>452</v>
      </c>
      <c r="C103" s="48">
        <v>46151</v>
      </c>
      <c r="D103" s="49" t="str">
        <f>IF(_xlfn.XLOOKUP(A103,[1]分配表!J:J,[1]分配表!M:M)=0,"未出单",_xlfn.XLOOKUP(A103,[1]分配表!J:J,[1]分配表!M:M))</f>
        <v>未出单</v>
      </c>
      <c r="E103" s="50" t="s">
        <v>96</v>
      </c>
      <c r="F103" s="73"/>
      <c r="G103" s="50"/>
      <c r="H103" s="51"/>
      <c r="I103" s="51"/>
      <c r="J103" s="51"/>
      <c r="K103" s="51"/>
      <c r="L103" s="51"/>
      <c r="M103" s="51"/>
      <c r="N103" s="51"/>
      <c r="O103" s="51"/>
      <c r="P103" s="59" t="s">
        <v>412</v>
      </c>
      <c r="Q103" s="52" t="str">
        <f t="shared" si="2"/>
        <v>未上架</v>
      </c>
      <c r="R103" s="57"/>
      <c r="S103" s="51"/>
      <c r="T103" s="51"/>
      <c r="U103" s="51"/>
      <c r="V103" s="51"/>
      <c r="W103" s="51"/>
      <c r="X103" s="51"/>
      <c r="Y103" s="55"/>
      <c r="Z103" s="59" t="s">
        <v>412</v>
      </c>
      <c r="AA103" s="54" t="str">
        <f t="shared" si="3"/>
        <v>未上架</v>
      </c>
      <c r="AB103" s="57"/>
      <c r="AC103" s="51"/>
      <c r="AD103" s="51"/>
      <c r="AE103" s="51"/>
      <c r="AF103" s="51"/>
      <c r="AG103" s="51"/>
      <c r="AH103" s="51"/>
      <c r="AI103" s="51"/>
      <c r="AJ103" s="59" t="s">
        <v>412</v>
      </c>
      <c r="AK103" s="57"/>
      <c r="AL103" s="51"/>
      <c r="AM103" s="51"/>
      <c r="AN103" s="51"/>
      <c r="AO103" s="51"/>
      <c r="AP103" s="51"/>
      <c r="AQ103" s="51"/>
      <c r="AR103" s="59"/>
      <c r="AS103" s="59" t="s">
        <v>412</v>
      </c>
      <c r="AT103" s="57"/>
      <c r="AU103" s="51"/>
      <c r="AV103" s="51"/>
      <c r="AW103" s="51"/>
      <c r="AX103" s="51"/>
      <c r="AY103" s="51"/>
      <c r="AZ103" s="51"/>
      <c r="BA103" s="51"/>
      <c r="BB103" s="62" t="s">
        <v>412</v>
      </c>
      <c r="BC103" s="51"/>
      <c r="BD103" s="51"/>
      <c r="BE103" s="51"/>
      <c r="BF103" s="51"/>
      <c r="BG103" s="51"/>
      <c r="BH103" s="51"/>
      <c r="BI103" s="51"/>
      <c r="BJ103" s="51"/>
      <c r="BK103" s="54" t="s">
        <v>412</v>
      </c>
      <c r="BL103" s="57"/>
      <c r="BM103" s="51"/>
      <c r="BN103" s="51"/>
      <c r="BO103" s="51"/>
      <c r="BP103" s="51"/>
      <c r="BQ103" s="51"/>
      <c r="BR103" s="51"/>
      <c r="BS103" s="51"/>
      <c r="BT103" s="63" t="s">
        <v>412</v>
      </c>
      <c r="BU103" s="57"/>
      <c r="BV103" s="51"/>
      <c r="BW103" s="51"/>
      <c r="BX103" s="51"/>
      <c r="BY103" s="51"/>
      <c r="BZ103" s="51"/>
      <c r="CA103" s="51"/>
      <c r="CB103" s="51"/>
      <c r="CC103" s="54" t="s">
        <v>412</v>
      </c>
      <c r="CD103" s="57"/>
      <c r="CE103" s="51"/>
      <c r="CF103" s="51"/>
      <c r="CG103" s="51"/>
      <c r="CH103" s="51"/>
      <c r="CI103" s="51"/>
      <c r="CJ103" s="51"/>
      <c r="CK103" s="51"/>
      <c r="CL103" s="51"/>
      <c r="CM103" s="51" t="s">
        <v>412</v>
      </c>
      <c r="CN103" s="57"/>
      <c r="CO103" s="51"/>
      <c r="CP103" s="51"/>
      <c r="CQ103" s="51"/>
      <c r="CR103" s="51"/>
      <c r="CS103" s="51"/>
      <c r="CT103" s="51"/>
      <c r="CU103" s="51"/>
      <c r="CV103" s="51" t="s">
        <v>412</v>
      </c>
      <c r="CW103" s="57"/>
      <c r="CX103" s="51"/>
      <c r="CY103" s="51"/>
      <c r="CZ103" s="64" t="str">
        <f>IF(_xlfn.XLOOKUP(B103,[2]累计数据!$C$193:$C$245,[2]累计数据!$C$193:$C$245,"N")=B103,"Y","N")</f>
        <v>N</v>
      </c>
      <c r="DA103" s="57"/>
      <c r="DB103" s="51"/>
      <c r="DC103" s="51" t="s">
        <v>412</v>
      </c>
      <c r="DD103" s="13"/>
      <c r="DE103" s="51"/>
      <c r="DF103" s="51"/>
      <c r="DG103" s="51"/>
      <c r="DH103" s="51"/>
      <c r="DI103" s="51"/>
      <c r="DJ103" s="51"/>
    </row>
    <row r="104" customFormat="1" ht="22.5" customHeight="1" spans="1:114">
      <c r="A104" s="46">
        <v>12713</v>
      </c>
      <c r="B104" s="47" t="s">
        <v>453</v>
      </c>
      <c r="C104" s="48">
        <v>46151</v>
      </c>
      <c r="D104" s="49" t="str">
        <f>IF(_xlfn.XLOOKUP(A104,[1]分配表!J:J,[1]分配表!M:M)=0,"未出单",_xlfn.XLOOKUP(A104,[1]分配表!J:J,[1]分配表!M:M))</f>
        <v>未出单</v>
      </c>
      <c r="E104" s="50" t="s">
        <v>96</v>
      </c>
      <c r="F104" s="73"/>
      <c r="G104" s="50"/>
      <c r="H104" s="51"/>
      <c r="I104" s="51"/>
      <c r="J104" s="51"/>
      <c r="K104" s="51"/>
      <c r="L104" s="51"/>
      <c r="M104" s="51"/>
      <c r="N104" s="51"/>
      <c r="O104" s="51"/>
      <c r="P104" s="59" t="s">
        <v>412</v>
      </c>
      <c r="Q104" s="52" t="str">
        <f t="shared" si="2"/>
        <v>未上架</v>
      </c>
      <c r="R104" s="57"/>
      <c r="S104" s="51"/>
      <c r="T104" s="51"/>
      <c r="U104" s="51"/>
      <c r="V104" s="51"/>
      <c r="W104" s="51"/>
      <c r="X104" s="51"/>
      <c r="Y104" s="55"/>
      <c r="Z104" s="59" t="s">
        <v>412</v>
      </c>
      <c r="AA104" s="54" t="str">
        <f t="shared" si="3"/>
        <v>未上架</v>
      </c>
      <c r="AB104" s="57"/>
      <c r="AC104" s="51"/>
      <c r="AD104" s="51"/>
      <c r="AE104" s="51"/>
      <c r="AF104" s="51"/>
      <c r="AG104" s="51"/>
      <c r="AH104" s="51"/>
      <c r="AI104" s="51"/>
      <c r="AJ104" s="59" t="s">
        <v>412</v>
      </c>
      <c r="AK104" s="57"/>
      <c r="AL104" s="51"/>
      <c r="AM104" s="51"/>
      <c r="AN104" s="51"/>
      <c r="AO104" s="51"/>
      <c r="AP104" s="51"/>
      <c r="AQ104" s="51"/>
      <c r="AR104" s="59"/>
      <c r="AS104" s="59" t="s">
        <v>412</v>
      </c>
      <c r="AT104" s="57"/>
      <c r="AU104" s="51"/>
      <c r="AV104" s="51"/>
      <c r="AW104" s="51"/>
      <c r="AX104" s="51"/>
      <c r="AY104" s="51"/>
      <c r="AZ104" s="51"/>
      <c r="BA104" s="51"/>
      <c r="BB104" s="62" t="s">
        <v>412</v>
      </c>
      <c r="BC104" s="51"/>
      <c r="BD104" s="51"/>
      <c r="BE104" s="51"/>
      <c r="BF104" s="51"/>
      <c r="BG104" s="51"/>
      <c r="BH104" s="51"/>
      <c r="BI104" s="51"/>
      <c r="BJ104" s="51"/>
      <c r="BK104" s="54" t="s">
        <v>412</v>
      </c>
      <c r="BL104" s="57"/>
      <c r="BM104" s="51"/>
      <c r="BN104" s="51"/>
      <c r="BO104" s="51"/>
      <c r="BP104" s="51"/>
      <c r="BQ104" s="51"/>
      <c r="BR104" s="51"/>
      <c r="BS104" s="51"/>
      <c r="BT104" s="63" t="s">
        <v>412</v>
      </c>
      <c r="BU104" s="57"/>
      <c r="BV104" s="51"/>
      <c r="BW104" s="51"/>
      <c r="BX104" s="51"/>
      <c r="BY104" s="51"/>
      <c r="BZ104" s="51"/>
      <c r="CA104" s="51"/>
      <c r="CB104" s="51"/>
      <c r="CC104" s="54" t="s">
        <v>412</v>
      </c>
      <c r="CD104" s="57"/>
      <c r="CE104" s="51"/>
      <c r="CF104" s="51"/>
      <c r="CG104" s="51"/>
      <c r="CH104" s="51"/>
      <c r="CI104" s="51"/>
      <c r="CJ104" s="51"/>
      <c r="CK104" s="51"/>
      <c r="CL104" s="51"/>
      <c r="CM104" s="51" t="s">
        <v>412</v>
      </c>
      <c r="CN104" s="57"/>
      <c r="CO104" s="51"/>
      <c r="CP104" s="51"/>
      <c r="CQ104" s="51"/>
      <c r="CR104" s="51"/>
      <c r="CS104" s="51"/>
      <c r="CT104" s="51"/>
      <c r="CU104" s="51"/>
      <c r="CV104" s="51" t="s">
        <v>412</v>
      </c>
      <c r="CW104" s="57"/>
      <c r="CX104" s="51"/>
      <c r="CY104" s="51"/>
      <c r="CZ104" s="64" t="str">
        <f>IF(_xlfn.XLOOKUP(B104,[2]累计数据!$C$193:$C$245,[2]累计数据!$C$193:$C$245,"N")=B104,"Y","N")</f>
        <v>N</v>
      </c>
      <c r="DA104" s="57"/>
      <c r="DB104" s="51"/>
      <c r="DC104" s="51" t="s">
        <v>412</v>
      </c>
      <c r="DD104" s="13"/>
      <c r="DE104" s="51"/>
      <c r="DF104" s="51"/>
      <c r="DG104" s="51"/>
      <c r="DH104" s="51"/>
      <c r="DI104" s="51"/>
      <c r="DJ104" s="51"/>
    </row>
    <row r="105" customFormat="1" ht="22.5" customHeight="1" spans="1:114">
      <c r="A105" s="46">
        <v>12732</v>
      </c>
      <c r="B105" s="47" t="s">
        <v>454</v>
      </c>
      <c r="C105" s="48">
        <v>46151</v>
      </c>
      <c r="D105" s="49" t="str">
        <f>IF(_xlfn.XLOOKUP(A105,[1]分配表!J:J,[1]分配表!M:M)=0,"未出单",_xlfn.XLOOKUP(A105,[1]分配表!J:J,[1]分配表!M:M))</f>
        <v>未出单</v>
      </c>
      <c r="E105" s="50" t="s">
        <v>64</v>
      </c>
      <c r="F105" s="73"/>
      <c r="G105" s="50"/>
      <c r="H105" s="51"/>
      <c r="I105" s="51"/>
      <c r="J105" s="51"/>
      <c r="K105" s="51"/>
      <c r="L105" s="51"/>
      <c r="M105" s="51"/>
      <c r="N105" s="51"/>
      <c r="O105" s="51"/>
      <c r="P105" s="59" t="s">
        <v>412</v>
      </c>
      <c r="Q105" s="52" t="str">
        <f t="shared" si="2"/>
        <v>未上架</v>
      </c>
      <c r="R105" s="57"/>
      <c r="S105" s="51"/>
      <c r="T105" s="51"/>
      <c r="U105" s="51"/>
      <c r="V105" s="51"/>
      <c r="W105" s="51"/>
      <c r="X105" s="51"/>
      <c r="Y105" s="55"/>
      <c r="Z105" s="59" t="s">
        <v>412</v>
      </c>
      <c r="AA105" s="54" t="str">
        <f t="shared" si="3"/>
        <v>未上架</v>
      </c>
      <c r="AB105" s="57"/>
      <c r="AC105" s="51"/>
      <c r="AD105" s="51"/>
      <c r="AE105" s="51"/>
      <c r="AF105" s="51"/>
      <c r="AG105" s="51"/>
      <c r="AH105" s="51"/>
      <c r="AI105" s="51"/>
      <c r="AJ105" s="59" t="s">
        <v>412</v>
      </c>
      <c r="AK105" s="57"/>
      <c r="AL105" s="51"/>
      <c r="AM105" s="51"/>
      <c r="AN105" s="51"/>
      <c r="AO105" s="51"/>
      <c r="AP105" s="51"/>
      <c r="AQ105" s="51"/>
      <c r="AR105" s="59"/>
      <c r="AS105" s="59" t="s">
        <v>412</v>
      </c>
      <c r="AT105" s="57"/>
      <c r="AU105" s="51"/>
      <c r="AV105" s="51"/>
      <c r="AW105" s="51"/>
      <c r="AX105" s="51"/>
      <c r="AY105" s="51"/>
      <c r="AZ105" s="51"/>
      <c r="BA105" s="51"/>
      <c r="BB105" s="62" t="s">
        <v>412</v>
      </c>
      <c r="BC105" s="51"/>
      <c r="BD105" s="51"/>
      <c r="BE105" s="51"/>
      <c r="BF105" s="51"/>
      <c r="BG105" s="51"/>
      <c r="BH105" s="51"/>
      <c r="BI105" s="51"/>
      <c r="BJ105" s="51"/>
      <c r="BK105" s="54" t="s">
        <v>412</v>
      </c>
      <c r="BL105" s="57"/>
      <c r="BM105" s="51"/>
      <c r="BN105" s="51"/>
      <c r="BO105" s="51"/>
      <c r="BP105" s="51"/>
      <c r="BQ105" s="51"/>
      <c r="BR105" s="51"/>
      <c r="BS105" s="51"/>
      <c r="BT105" s="63" t="s">
        <v>412</v>
      </c>
      <c r="BU105" s="57"/>
      <c r="BV105" s="51"/>
      <c r="BW105" s="51"/>
      <c r="BX105" s="51"/>
      <c r="BY105" s="51"/>
      <c r="BZ105" s="51"/>
      <c r="CA105" s="51"/>
      <c r="CB105" s="51"/>
      <c r="CC105" s="54" t="s">
        <v>412</v>
      </c>
      <c r="CD105" s="57"/>
      <c r="CE105" s="51"/>
      <c r="CF105" s="51"/>
      <c r="CG105" s="51"/>
      <c r="CH105" s="51"/>
      <c r="CI105" s="51"/>
      <c r="CJ105" s="51"/>
      <c r="CK105" s="51"/>
      <c r="CL105" s="51"/>
      <c r="CM105" s="51" t="s">
        <v>412</v>
      </c>
      <c r="CN105" s="57"/>
      <c r="CO105" s="51"/>
      <c r="CP105" s="51"/>
      <c r="CQ105" s="51"/>
      <c r="CR105" s="51"/>
      <c r="CS105" s="51"/>
      <c r="CT105" s="51"/>
      <c r="CU105" s="51"/>
      <c r="CV105" s="51" t="s">
        <v>412</v>
      </c>
      <c r="CW105" s="57"/>
      <c r="CX105" s="51"/>
      <c r="CY105" s="51"/>
      <c r="CZ105" s="64" t="str">
        <f>IF(_xlfn.XLOOKUP(B105,[2]累计数据!$C$193:$C$245,[2]累计数据!$C$193:$C$245,"N")=B105,"Y","N")</f>
        <v>N</v>
      </c>
      <c r="DA105" s="57"/>
      <c r="DB105" s="51"/>
      <c r="DC105" s="51" t="s">
        <v>412</v>
      </c>
      <c r="DD105" s="13"/>
      <c r="DE105" s="51"/>
      <c r="DF105" s="51"/>
      <c r="DG105" s="51"/>
      <c r="DH105" s="51"/>
      <c r="DI105" s="51"/>
      <c r="DJ105" s="51"/>
    </row>
    <row r="106" customFormat="1" ht="22.5" customHeight="1" spans="1:114">
      <c r="A106" s="46">
        <v>12658</v>
      </c>
      <c r="B106" s="47" t="s">
        <v>455</v>
      </c>
      <c r="C106" s="48">
        <v>46151</v>
      </c>
      <c r="D106" s="49" t="str">
        <f>IF(_xlfn.XLOOKUP(A106,[1]分配表!J:J,[1]分配表!M:M)=0,"未出单",_xlfn.XLOOKUP(A106,[1]分配表!J:J,[1]分配表!M:M))</f>
        <v>未出单</v>
      </c>
      <c r="E106" s="50" t="s">
        <v>32</v>
      </c>
      <c r="F106" s="73"/>
      <c r="G106" s="50"/>
      <c r="H106" s="51"/>
      <c r="I106" s="51"/>
      <c r="J106" s="51"/>
      <c r="K106" s="51"/>
      <c r="L106" s="51"/>
      <c r="M106" s="51"/>
      <c r="N106" s="51"/>
      <c r="O106" s="51"/>
      <c r="P106" s="59" t="s">
        <v>412</v>
      </c>
      <c r="Q106" s="52" t="str">
        <f t="shared" si="2"/>
        <v>未上架</v>
      </c>
      <c r="R106" s="57"/>
      <c r="S106" s="51"/>
      <c r="T106" s="51"/>
      <c r="U106" s="51"/>
      <c r="V106" s="51"/>
      <c r="W106" s="51"/>
      <c r="X106" s="51"/>
      <c r="Y106" s="55"/>
      <c r="Z106" s="59" t="s">
        <v>412</v>
      </c>
      <c r="AA106" s="54" t="str">
        <f t="shared" si="3"/>
        <v>未上架</v>
      </c>
      <c r="AB106" s="57"/>
      <c r="AC106" s="51"/>
      <c r="AD106" s="51"/>
      <c r="AE106" s="51"/>
      <c r="AF106" s="51"/>
      <c r="AG106" s="51"/>
      <c r="AH106" s="51"/>
      <c r="AI106" s="51"/>
      <c r="AJ106" s="59" t="s">
        <v>412</v>
      </c>
      <c r="AK106" s="57"/>
      <c r="AL106" s="51"/>
      <c r="AM106" s="51"/>
      <c r="AN106" s="51"/>
      <c r="AO106" s="51"/>
      <c r="AP106" s="51"/>
      <c r="AQ106" s="51"/>
      <c r="AR106" s="59"/>
      <c r="AS106" s="59" t="s">
        <v>412</v>
      </c>
      <c r="AT106" s="57"/>
      <c r="AU106" s="51"/>
      <c r="AV106" s="51"/>
      <c r="AW106" s="51"/>
      <c r="AX106" s="51"/>
      <c r="AY106" s="51"/>
      <c r="AZ106" s="51"/>
      <c r="BA106" s="51"/>
      <c r="BB106" s="62" t="s">
        <v>412</v>
      </c>
      <c r="BC106" s="51"/>
      <c r="BD106" s="51"/>
      <c r="BE106" s="51"/>
      <c r="BF106" s="51"/>
      <c r="BG106" s="51"/>
      <c r="BH106" s="51"/>
      <c r="BI106" s="51"/>
      <c r="BJ106" s="51"/>
      <c r="BK106" s="54" t="s">
        <v>412</v>
      </c>
      <c r="BL106" s="57"/>
      <c r="BM106" s="51"/>
      <c r="BN106" s="51"/>
      <c r="BO106" s="51"/>
      <c r="BP106" s="51"/>
      <c r="BQ106" s="51"/>
      <c r="BR106" s="51"/>
      <c r="BS106" s="51"/>
      <c r="BT106" s="63" t="s">
        <v>412</v>
      </c>
      <c r="BU106" s="57"/>
      <c r="BV106" s="51"/>
      <c r="BW106" s="51"/>
      <c r="BX106" s="51"/>
      <c r="BY106" s="51"/>
      <c r="BZ106" s="51"/>
      <c r="CA106" s="51"/>
      <c r="CB106" s="51"/>
      <c r="CC106" s="54" t="s">
        <v>412</v>
      </c>
      <c r="CD106" s="57"/>
      <c r="CE106" s="51"/>
      <c r="CF106" s="51"/>
      <c r="CG106" s="51"/>
      <c r="CH106" s="51"/>
      <c r="CI106" s="51"/>
      <c r="CJ106" s="51"/>
      <c r="CK106" s="51"/>
      <c r="CL106" s="51"/>
      <c r="CM106" s="51" t="s">
        <v>412</v>
      </c>
      <c r="CN106" s="57"/>
      <c r="CO106" s="51"/>
      <c r="CP106" s="51"/>
      <c r="CQ106" s="51"/>
      <c r="CR106" s="51"/>
      <c r="CS106" s="51"/>
      <c r="CT106" s="51"/>
      <c r="CU106" s="51"/>
      <c r="CV106" s="51" t="s">
        <v>412</v>
      </c>
      <c r="CW106" s="57"/>
      <c r="CX106" s="51"/>
      <c r="CY106" s="51"/>
      <c r="CZ106" s="64" t="str">
        <f>IF(_xlfn.XLOOKUP(B106,[2]累计数据!$C$193:$C$245,[2]累计数据!$C$193:$C$245,"N")=B106,"Y","N")</f>
        <v>N</v>
      </c>
      <c r="DA106" s="57"/>
      <c r="DB106" s="51"/>
      <c r="DC106" s="51" t="s">
        <v>412</v>
      </c>
      <c r="DD106" s="13"/>
      <c r="DE106" s="51"/>
      <c r="DF106" s="51"/>
      <c r="DG106" s="51"/>
      <c r="DH106" s="51"/>
      <c r="DI106" s="51"/>
      <c r="DJ106" s="51"/>
    </row>
    <row r="107" customFormat="1" ht="22.5" customHeight="1" spans="1:114">
      <c r="A107" s="46">
        <v>12741</v>
      </c>
      <c r="B107" s="47" t="s">
        <v>456</v>
      </c>
      <c r="C107" s="48">
        <v>46151</v>
      </c>
      <c r="D107" s="49" t="str">
        <f>IF(_xlfn.XLOOKUP(A107,[1]分配表!J:J,[1]分配表!M:M)=0,"未出单",_xlfn.XLOOKUP(A107,[1]分配表!J:J,[1]分配表!M:M))</f>
        <v>未出单</v>
      </c>
      <c r="E107" s="50" t="s">
        <v>51</v>
      </c>
      <c r="F107" s="73"/>
      <c r="G107" s="50"/>
      <c r="H107" s="51"/>
      <c r="I107" s="51"/>
      <c r="J107" s="51"/>
      <c r="K107" s="51"/>
      <c r="L107" s="51"/>
      <c r="M107" s="51"/>
      <c r="N107" s="51"/>
      <c r="O107" s="51"/>
      <c r="P107" s="59" t="s">
        <v>412</v>
      </c>
      <c r="Q107" s="52" t="str">
        <f t="shared" si="2"/>
        <v>未上架</v>
      </c>
      <c r="R107" s="57"/>
      <c r="S107" s="51"/>
      <c r="T107" s="51"/>
      <c r="U107" s="51"/>
      <c r="V107" s="51"/>
      <c r="W107" s="51"/>
      <c r="X107" s="51"/>
      <c r="Y107" s="55"/>
      <c r="Z107" s="59" t="s">
        <v>412</v>
      </c>
      <c r="AA107" s="54" t="str">
        <f t="shared" si="3"/>
        <v>未上架</v>
      </c>
      <c r="AB107" s="57"/>
      <c r="AC107" s="51"/>
      <c r="AD107" s="51"/>
      <c r="AE107" s="51"/>
      <c r="AF107" s="51"/>
      <c r="AG107" s="51"/>
      <c r="AH107" s="51"/>
      <c r="AI107" s="51"/>
      <c r="AJ107" s="59" t="s">
        <v>412</v>
      </c>
      <c r="AK107" s="57"/>
      <c r="AL107" s="51"/>
      <c r="AM107" s="51"/>
      <c r="AN107" s="51"/>
      <c r="AO107" s="51"/>
      <c r="AP107" s="51"/>
      <c r="AQ107" s="51"/>
      <c r="AR107" s="59"/>
      <c r="AS107" s="59" t="s">
        <v>412</v>
      </c>
      <c r="AT107" s="57"/>
      <c r="AU107" s="51"/>
      <c r="AV107" s="51"/>
      <c r="AW107" s="51"/>
      <c r="AX107" s="51"/>
      <c r="AY107" s="51"/>
      <c r="AZ107" s="51"/>
      <c r="BA107" s="51"/>
      <c r="BB107" s="62" t="s">
        <v>412</v>
      </c>
      <c r="BC107" s="51"/>
      <c r="BD107" s="51"/>
      <c r="BE107" s="51"/>
      <c r="BF107" s="51"/>
      <c r="BG107" s="51"/>
      <c r="BH107" s="51"/>
      <c r="BI107" s="51"/>
      <c r="BJ107" s="51"/>
      <c r="BK107" s="54" t="s">
        <v>412</v>
      </c>
      <c r="BL107" s="57"/>
      <c r="BM107" s="51"/>
      <c r="BN107" s="51"/>
      <c r="BO107" s="51"/>
      <c r="BP107" s="51"/>
      <c r="BQ107" s="51"/>
      <c r="BR107" s="51"/>
      <c r="BS107" s="51"/>
      <c r="BT107" s="63" t="s">
        <v>412</v>
      </c>
      <c r="BU107" s="57"/>
      <c r="BV107" s="51"/>
      <c r="BW107" s="51"/>
      <c r="BX107" s="51"/>
      <c r="BY107" s="51"/>
      <c r="BZ107" s="51"/>
      <c r="CA107" s="51"/>
      <c r="CB107" s="51"/>
      <c r="CC107" s="54" t="s">
        <v>412</v>
      </c>
      <c r="CD107" s="57"/>
      <c r="CE107" s="51"/>
      <c r="CF107" s="51"/>
      <c r="CG107" s="51"/>
      <c r="CH107" s="51"/>
      <c r="CI107" s="51"/>
      <c r="CJ107" s="51"/>
      <c r="CK107" s="51"/>
      <c r="CL107" s="51"/>
      <c r="CM107" s="51" t="s">
        <v>412</v>
      </c>
      <c r="CN107" s="57"/>
      <c r="CO107" s="51"/>
      <c r="CP107" s="51"/>
      <c r="CQ107" s="51"/>
      <c r="CR107" s="51"/>
      <c r="CS107" s="51"/>
      <c r="CT107" s="51"/>
      <c r="CU107" s="51"/>
      <c r="CV107" s="51" t="s">
        <v>412</v>
      </c>
      <c r="CW107" s="57"/>
      <c r="CX107" s="51"/>
      <c r="CY107" s="51"/>
      <c r="CZ107" s="64" t="str">
        <f>IF(_xlfn.XLOOKUP(B107,[2]累计数据!$C$193:$C$245,[2]累计数据!$C$193:$C$245,"N")=B107,"Y","N")</f>
        <v>N</v>
      </c>
      <c r="DA107" s="57"/>
      <c r="DB107" s="51"/>
      <c r="DC107" s="51" t="s">
        <v>412</v>
      </c>
      <c r="DD107" s="13"/>
      <c r="DE107" s="51"/>
      <c r="DF107" s="51"/>
      <c r="DG107" s="51"/>
      <c r="DH107" s="51"/>
      <c r="DI107" s="51"/>
      <c r="DJ107" s="51"/>
    </row>
    <row r="108" customFormat="1" ht="22.5" customHeight="1" spans="1:114">
      <c r="A108" s="46">
        <v>12740</v>
      </c>
      <c r="B108" s="47" t="s">
        <v>457</v>
      </c>
      <c r="C108" s="48">
        <v>46151</v>
      </c>
      <c r="D108" s="49" t="str">
        <f>IF(_xlfn.XLOOKUP(A108,[1]分配表!J:J,[1]分配表!M:M)=0,"未出单",_xlfn.XLOOKUP(A108,[1]分配表!J:J,[1]分配表!M:M))</f>
        <v>未出单</v>
      </c>
      <c r="E108" s="50" t="s">
        <v>51</v>
      </c>
      <c r="F108" s="73"/>
      <c r="G108" s="50"/>
      <c r="H108" s="51"/>
      <c r="I108" s="51"/>
      <c r="J108" s="51"/>
      <c r="K108" s="51"/>
      <c r="L108" s="51"/>
      <c r="M108" s="51"/>
      <c r="N108" s="51"/>
      <c r="O108" s="51"/>
      <c r="P108" s="59" t="s">
        <v>412</v>
      </c>
      <c r="Q108" s="52" t="str">
        <f t="shared" si="2"/>
        <v>未上架</v>
      </c>
      <c r="R108" s="57"/>
      <c r="S108" s="51"/>
      <c r="T108" s="51"/>
      <c r="U108" s="51"/>
      <c r="V108" s="51"/>
      <c r="W108" s="51"/>
      <c r="X108" s="51"/>
      <c r="Y108" s="55"/>
      <c r="Z108" s="59" t="s">
        <v>412</v>
      </c>
      <c r="AA108" s="54" t="str">
        <f t="shared" si="3"/>
        <v>未上架</v>
      </c>
      <c r="AB108" s="57"/>
      <c r="AC108" s="51"/>
      <c r="AD108" s="51"/>
      <c r="AE108" s="51"/>
      <c r="AF108" s="51"/>
      <c r="AG108" s="51"/>
      <c r="AH108" s="51"/>
      <c r="AI108" s="51"/>
      <c r="AJ108" s="59" t="s">
        <v>412</v>
      </c>
      <c r="AK108" s="57"/>
      <c r="AL108" s="51"/>
      <c r="AM108" s="51"/>
      <c r="AN108" s="51"/>
      <c r="AO108" s="51"/>
      <c r="AP108" s="51"/>
      <c r="AQ108" s="51"/>
      <c r="AR108" s="59"/>
      <c r="AS108" s="59" t="s">
        <v>412</v>
      </c>
      <c r="AT108" s="57"/>
      <c r="AU108" s="51"/>
      <c r="AV108" s="51"/>
      <c r="AW108" s="51"/>
      <c r="AX108" s="51"/>
      <c r="AY108" s="51"/>
      <c r="AZ108" s="51"/>
      <c r="BA108" s="51"/>
      <c r="BB108" s="62" t="s">
        <v>412</v>
      </c>
      <c r="BC108" s="51"/>
      <c r="BD108" s="51"/>
      <c r="BE108" s="51"/>
      <c r="BF108" s="51"/>
      <c r="BG108" s="51"/>
      <c r="BH108" s="51"/>
      <c r="BI108" s="51"/>
      <c r="BJ108" s="51"/>
      <c r="BK108" s="54" t="s">
        <v>412</v>
      </c>
      <c r="BL108" s="57"/>
      <c r="BM108" s="51"/>
      <c r="BN108" s="51"/>
      <c r="BO108" s="51"/>
      <c r="BP108" s="51"/>
      <c r="BQ108" s="51"/>
      <c r="BR108" s="51"/>
      <c r="BS108" s="51"/>
      <c r="BT108" s="63" t="s">
        <v>412</v>
      </c>
      <c r="BU108" s="57"/>
      <c r="BV108" s="51"/>
      <c r="BW108" s="51"/>
      <c r="BX108" s="51"/>
      <c r="BY108" s="51"/>
      <c r="BZ108" s="51"/>
      <c r="CA108" s="51"/>
      <c r="CB108" s="51"/>
      <c r="CC108" s="54" t="s">
        <v>412</v>
      </c>
      <c r="CD108" s="57"/>
      <c r="CE108" s="51"/>
      <c r="CF108" s="51"/>
      <c r="CG108" s="51"/>
      <c r="CH108" s="51"/>
      <c r="CI108" s="51"/>
      <c r="CJ108" s="51"/>
      <c r="CK108" s="51"/>
      <c r="CL108" s="51"/>
      <c r="CM108" s="51" t="s">
        <v>412</v>
      </c>
      <c r="CN108" s="57"/>
      <c r="CO108" s="51"/>
      <c r="CP108" s="51"/>
      <c r="CQ108" s="51"/>
      <c r="CR108" s="51"/>
      <c r="CS108" s="51"/>
      <c r="CT108" s="51"/>
      <c r="CU108" s="51"/>
      <c r="CV108" s="51" t="s">
        <v>412</v>
      </c>
      <c r="CW108" s="57"/>
      <c r="CX108" s="51"/>
      <c r="CY108" s="51"/>
      <c r="CZ108" s="64" t="str">
        <f>IF(_xlfn.XLOOKUP(B108,[2]累计数据!$C$193:$C$245,[2]累计数据!$C$193:$C$245,"N")=B108,"Y","N")</f>
        <v>N</v>
      </c>
      <c r="DA108" s="57"/>
      <c r="DB108" s="51"/>
      <c r="DC108" s="51" t="s">
        <v>412</v>
      </c>
      <c r="DD108" s="13"/>
      <c r="DE108" s="51"/>
      <c r="DF108" s="51"/>
      <c r="DG108" s="51"/>
      <c r="DH108" s="51"/>
      <c r="DI108" s="51"/>
      <c r="DJ108" s="51"/>
    </row>
    <row r="109" customFormat="1" ht="22.5" customHeight="1" spans="1:114">
      <c r="A109" s="46">
        <v>12743</v>
      </c>
      <c r="B109" s="47" t="s">
        <v>458</v>
      </c>
      <c r="C109" s="48">
        <v>46151</v>
      </c>
      <c r="D109" s="49">
        <f>IF(_xlfn.XLOOKUP(A109,[1]分配表!J:J,[1]分配表!M:M)=0,"未出单",_xlfn.XLOOKUP(A109,[1]分配表!J:J,[1]分配表!M:M))</f>
        <v>46151</v>
      </c>
      <c r="E109" s="50" t="s">
        <v>32</v>
      </c>
      <c r="F109" s="73"/>
      <c r="G109" s="50"/>
      <c r="H109" s="51"/>
      <c r="I109" s="51"/>
      <c r="J109" s="51"/>
      <c r="K109" s="51"/>
      <c r="L109" s="51"/>
      <c r="M109" s="51"/>
      <c r="N109" s="51"/>
      <c r="O109" s="51"/>
      <c r="P109" s="59" t="s">
        <v>412</v>
      </c>
      <c r="Q109" s="52" t="str">
        <f t="shared" si="2"/>
        <v>未上架</v>
      </c>
      <c r="R109" s="57"/>
      <c r="S109" s="51"/>
      <c r="T109" s="51"/>
      <c r="U109" s="51"/>
      <c r="V109" s="51"/>
      <c r="W109" s="51"/>
      <c r="X109" s="51"/>
      <c r="Y109" s="55"/>
      <c r="Z109" s="59" t="s">
        <v>412</v>
      </c>
      <c r="AA109" s="54" t="str">
        <f t="shared" si="3"/>
        <v>未上架</v>
      </c>
      <c r="AB109" s="57"/>
      <c r="AC109" s="51"/>
      <c r="AD109" s="51"/>
      <c r="AE109" s="51"/>
      <c r="AF109" s="51"/>
      <c r="AG109" s="51"/>
      <c r="AH109" s="51"/>
      <c r="AI109" s="51"/>
      <c r="AJ109" s="59" t="s">
        <v>412</v>
      </c>
      <c r="AK109" s="57"/>
      <c r="AL109" s="51"/>
      <c r="AM109" s="51"/>
      <c r="AN109" s="51"/>
      <c r="AO109" s="51"/>
      <c r="AP109" s="51"/>
      <c r="AQ109" s="51"/>
      <c r="AR109" s="59"/>
      <c r="AS109" s="59" t="s">
        <v>412</v>
      </c>
      <c r="AT109" s="57"/>
      <c r="AU109" s="51"/>
      <c r="AV109" s="51"/>
      <c r="AW109" s="51"/>
      <c r="AX109" s="51"/>
      <c r="AY109" s="51"/>
      <c r="AZ109" s="51"/>
      <c r="BA109" s="51"/>
      <c r="BB109" s="62" t="s">
        <v>412</v>
      </c>
      <c r="BC109" s="51"/>
      <c r="BD109" s="51"/>
      <c r="BE109" s="51"/>
      <c r="BF109" s="51"/>
      <c r="BG109" s="51"/>
      <c r="BH109" s="51"/>
      <c r="BI109" s="51"/>
      <c r="BJ109" s="51"/>
      <c r="BK109" s="54" t="s">
        <v>412</v>
      </c>
      <c r="BL109" s="57"/>
      <c r="BM109" s="51"/>
      <c r="BN109" s="51"/>
      <c r="BO109" s="51"/>
      <c r="BP109" s="51"/>
      <c r="BQ109" s="51"/>
      <c r="BR109" s="51"/>
      <c r="BS109" s="51"/>
      <c r="BT109" s="63" t="s">
        <v>412</v>
      </c>
      <c r="BU109" s="57"/>
      <c r="BV109" s="51"/>
      <c r="BW109" s="51"/>
      <c r="BX109" s="51"/>
      <c r="BY109" s="51"/>
      <c r="BZ109" s="51"/>
      <c r="CA109" s="51"/>
      <c r="CB109" s="51"/>
      <c r="CC109" s="54" t="s">
        <v>412</v>
      </c>
      <c r="CD109" s="57"/>
      <c r="CE109" s="51"/>
      <c r="CF109" s="51"/>
      <c r="CG109" s="51"/>
      <c r="CH109" s="51"/>
      <c r="CI109" s="51"/>
      <c r="CJ109" s="51"/>
      <c r="CK109" s="51"/>
      <c r="CL109" s="51"/>
      <c r="CM109" s="51" t="s">
        <v>412</v>
      </c>
      <c r="CN109" s="57"/>
      <c r="CO109" s="51"/>
      <c r="CP109" s="51"/>
      <c r="CQ109" s="51"/>
      <c r="CR109" s="51"/>
      <c r="CS109" s="51"/>
      <c r="CT109" s="51"/>
      <c r="CU109" s="51"/>
      <c r="CV109" s="51" t="s">
        <v>412</v>
      </c>
      <c r="CW109" s="57"/>
      <c r="CX109" s="51"/>
      <c r="CY109" s="51"/>
      <c r="CZ109" s="64" t="str">
        <f>IF(_xlfn.XLOOKUP(B109,[2]累计数据!$C$193:$C$245,[2]累计数据!$C$193:$C$245,"N")=B109,"Y","N")</f>
        <v>N</v>
      </c>
      <c r="DA109" s="57"/>
      <c r="DB109" s="51"/>
      <c r="DC109" s="51" t="s">
        <v>412</v>
      </c>
      <c r="DD109" s="13"/>
      <c r="DE109" s="51"/>
      <c r="DF109" s="51"/>
      <c r="DG109" s="51"/>
      <c r="DH109" s="51"/>
      <c r="DI109" s="51"/>
      <c r="DJ109" s="51"/>
    </row>
    <row r="110" customFormat="1" ht="22.5" customHeight="1" spans="1:114">
      <c r="A110" s="46">
        <v>12742</v>
      </c>
      <c r="B110" s="47" t="s">
        <v>459</v>
      </c>
      <c r="C110" s="48">
        <v>46151</v>
      </c>
      <c r="D110" s="49" t="str">
        <f>IF(_xlfn.XLOOKUP(A110,[1]分配表!J:J,[1]分配表!M:M)=0,"未出单",_xlfn.XLOOKUP(A110,[1]分配表!J:J,[1]分配表!M:M))</f>
        <v>未出单</v>
      </c>
      <c r="E110" s="50" t="s">
        <v>32</v>
      </c>
      <c r="F110" s="73"/>
      <c r="G110" s="50"/>
      <c r="H110" s="51"/>
      <c r="I110" s="51"/>
      <c r="J110" s="51"/>
      <c r="K110" s="51"/>
      <c r="L110" s="51"/>
      <c r="M110" s="51"/>
      <c r="N110" s="51"/>
      <c r="O110" s="51"/>
      <c r="P110" s="59" t="s">
        <v>412</v>
      </c>
      <c r="Q110" s="52" t="str">
        <f t="shared" si="2"/>
        <v>未上架</v>
      </c>
      <c r="R110" s="57"/>
      <c r="S110" s="51"/>
      <c r="T110" s="51"/>
      <c r="U110" s="51"/>
      <c r="V110" s="51"/>
      <c r="W110" s="51"/>
      <c r="X110" s="51"/>
      <c r="Y110" s="55"/>
      <c r="Z110" s="59" t="s">
        <v>412</v>
      </c>
      <c r="AA110" s="54" t="str">
        <f t="shared" si="3"/>
        <v>未上架</v>
      </c>
      <c r="AB110" s="57"/>
      <c r="AC110" s="51"/>
      <c r="AD110" s="51"/>
      <c r="AE110" s="51"/>
      <c r="AF110" s="51"/>
      <c r="AG110" s="51"/>
      <c r="AH110" s="51"/>
      <c r="AI110" s="51"/>
      <c r="AJ110" s="59" t="s">
        <v>412</v>
      </c>
      <c r="AK110" s="57"/>
      <c r="AL110" s="51"/>
      <c r="AM110" s="51"/>
      <c r="AN110" s="51"/>
      <c r="AO110" s="51"/>
      <c r="AP110" s="51"/>
      <c r="AQ110" s="51"/>
      <c r="AR110" s="59"/>
      <c r="AS110" s="59" t="s">
        <v>412</v>
      </c>
      <c r="AT110" s="57"/>
      <c r="AU110" s="51"/>
      <c r="AV110" s="51"/>
      <c r="AW110" s="51"/>
      <c r="AX110" s="51"/>
      <c r="AY110" s="51"/>
      <c r="AZ110" s="51"/>
      <c r="BA110" s="51"/>
      <c r="BB110" s="62" t="s">
        <v>412</v>
      </c>
      <c r="BC110" s="51"/>
      <c r="BD110" s="51"/>
      <c r="BE110" s="51"/>
      <c r="BF110" s="51"/>
      <c r="BG110" s="51"/>
      <c r="BH110" s="51"/>
      <c r="BI110" s="51"/>
      <c r="BJ110" s="51"/>
      <c r="BK110" s="54" t="s">
        <v>412</v>
      </c>
      <c r="BL110" s="57"/>
      <c r="BM110" s="51"/>
      <c r="BN110" s="51"/>
      <c r="BO110" s="51"/>
      <c r="BP110" s="51"/>
      <c r="BQ110" s="51"/>
      <c r="BR110" s="51"/>
      <c r="BS110" s="51"/>
      <c r="BT110" s="63" t="s">
        <v>412</v>
      </c>
      <c r="BU110" s="57"/>
      <c r="BV110" s="51"/>
      <c r="BW110" s="51"/>
      <c r="BX110" s="51"/>
      <c r="BY110" s="51"/>
      <c r="BZ110" s="51"/>
      <c r="CA110" s="51"/>
      <c r="CB110" s="51"/>
      <c r="CC110" s="54" t="s">
        <v>412</v>
      </c>
      <c r="CD110" s="57"/>
      <c r="CE110" s="51"/>
      <c r="CF110" s="51"/>
      <c r="CG110" s="51"/>
      <c r="CH110" s="51"/>
      <c r="CI110" s="51"/>
      <c r="CJ110" s="51"/>
      <c r="CK110" s="51"/>
      <c r="CL110" s="51"/>
      <c r="CM110" s="51" t="s">
        <v>412</v>
      </c>
      <c r="CN110" s="57"/>
      <c r="CO110" s="51"/>
      <c r="CP110" s="51"/>
      <c r="CQ110" s="51"/>
      <c r="CR110" s="51"/>
      <c r="CS110" s="51"/>
      <c r="CT110" s="51"/>
      <c r="CU110" s="51"/>
      <c r="CV110" s="51" t="s">
        <v>412</v>
      </c>
      <c r="CW110" s="57"/>
      <c r="CX110" s="51"/>
      <c r="CY110" s="51"/>
      <c r="CZ110" s="64" t="str">
        <f>IF(_xlfn.XLOOKUP(B110,[2]累计数据!$C$193:$C$245,[2]累计数据!$C$193:$C$245,"N")=B110,"Y","N")</f>
        <v>N</v>
      </c>
      <c r="DA110" s="57"/>
      <c r="DB110" s="51"/>
      <c r="DC110" s="51" t="s">
        <v>412</v>
      </c>
      <c r="DD110" s="13"/>
      <c r="DE110" s="51"/>
      <c r="DF110" s="51"/>
      <c r="DG110" s="51"/>
      <c r="DH110" s="51"/>
      <c r="DI110" s="51"/>
      <c r="DJ110" s="51"/>
    </row>
    <row r="111" customFormat="1" spans="1:114">
      <c r="A111" s="1"/>
      <c r="B111" s="2"/>
      <c r="C111" s="2"/>
      <c r="D111" s="2"/>
      <c r="E111" s="2"/>
      <c r="F111" s="7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4"/>
      <c r="S111" s="5"/>
      <c r="T111" s="5"/>
      <c r="U111" s="5"/>
      <c r="V111" s="5"/>
      <c r="W111" s="5"/>
      <c r="X111" s="5"/>
      <c r="Y111" s="6"/>
      <c r="Z111" s="6"/>
      <c r="AA111" s="3"/>
      <c r="AB111" s="7"/>
      <c r="AC111" s="3"/>
      <c r="AD111" s="3"/>
      <c r="AE111" s="3"/>
      <c r="AF111" s="3"/>
      <c r="AG111" s="3"/>
      <c r="AH111" s="3"/>
      <c r="AI111" s="3"/>
      <c r="AJ111" s="3"/>
      <c r="AK111" s="8"/>
      <c r="AL111" s="9"/>
      <c r="AM111" s="9"/>
      <c r="AN111" s="9"/>
      <c r="AO111" s="9"/>
      <c r="AP111" s="9"/>
      <c r="AQ111" s="9"/>
      <c r="AR111" s="9"/>
      <c r="AS111" s="9"/>
      <c r="AT111" s="10"/>
      <c r="AU111" s="11"/>
      <c r="AV111" s="11"/>
      <c r="AW111" s="11"/>
      <c r="AX111" s="11"/>
      <c r="AY111" s="11"/>
      <c r="AZ111" s="11"/>
      <c r="BA111" s="11"/>
      <c r="BB111" s="12"/>
      <c r="BC111" s="3"/>
      <c r="BD111" s="3"/>
      <c r="BE111" s="3"/>
      <c r="BF111" s="3"/>
      <c r="BG111" s="3"/>
      <c r="BH111" s="3"/>
      <c r="BI111" s="3"/>
      <c r="BJ111" s="3"/>
      <c r="BK111" s="3"/>
      <c r="BL111" s="7"/>
      <c r="BM111" s="3"/>
      <c r="BN111" s="3"/>
      <c r="BO111" s="3"/>
      <c r="BP111" s="3"/>
      <c r="BQ111" s="3"/>
      <c r="BR111" s="3"/>
      <c r="BS111" s="3"/>
      <c r="BT111" s="13"/>
      <c r="BU111" s="7"/>
      <c r="BV111" s="3"/>
      <c r="BW111" s="3"/>
      <c r="BX111" s="3"/>
      <c r="BY111" s="3"/>
      <c r="BZ111" s="3"/>
      <c r="CA111" s="3"/>
      <c r="CB111" s="3"/>
      <c r="CC111" s="3"/>
      <c r="CD111" s="7"/>
      <c r="CE111" s="3"/>
      <c r="CF111" s="3"/>
      <c r="CG111" s="3"/>
      <c r="CH111" s="3"/>
      <c r="CI111" s="3"/>
      <c r="CJ111" s="3"/>
      <c r="CK111" s="3"/>
      <c r="CL111" s="3"/>
      <c r="CM111" s="3"/>
      <c r="CN111" s="7"/>
      <c r="CO111" s="3"/>
      <c r="CP111" s="3"/>
      <c r="CQ111" s="3"/>
      <c r="CR111" s="3"/>
      <c r="CS111" s="3"/>
      <c r="CT111" s="3"/>
      <c r="CU111" s="3"/>
      <c r="CV111" s="3"/>
      <c r="CW111" s="7"/>
      <c r="CX111" s="3"/>
      <c r="CY111" s="3"/>
      <c r="CZ111" s="13"/>
      <c r="DA111" s="14"/>
      <c r="DB111" s="15"/>
      <c r="DC111" s="15"/>
      <c r="DD111" s="13"/>
      <c r="DE111"/>
      <c r="DF111"/>
      <c r="DG111"/>
      <c r="DH111"/>
      <c r="DI111"/>
      <c r="DJ111" s="3"/>
    </row>
    <row r="112" customFormat="1" spans="1:114">
      <c r="A112" s="1"/>
      <c r="B112" s="2"/>
      <c r="C112" s="2"/>
      <c r="D112" s="2"/>
      <c r="E112" s="2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4"/>
      <c r="S112" s="5"/>
      <c r="T112" s="5"/>
      <c r="U112" s="5"/>
      <c r="V112" s="5"/>
      <c r="W112" s="5"/>
      <c r="X112" s="5"/>
      <c r="Y112" s="6"/>
      <c r="Z112" s="6"/>
      <c r="AA112" s="3"/>
      <c r="AB112" s="7"/>
      <c r="AC112" s="3"/>
      <c r="AD112" s="3"/>
      <c r="AE112" s="3"/>
      <c r="AF112" s="3"/>
      <c r="AG112" s="3"/>
      <c r="AH112" s="3"/>
      <c r="AI112" s="3"/>
      <c r="AJ112" s="3"/>
      <c r="AK112" s="8"/>
      <c r="AL112" s="9"/>
      <c r="AM112" s="9"/>
      <c r="AN112" s="9"/>
      <c r="AO112" s="9"/>
      <c r="AP112" s="9"/>
      <c r="AQ112" s="9"/>
      <c r="AR112" s="9"/>
      <c r="AS112" s="9"/>
      <c r="AT112" s="10"/>
      <c r="AU112" s="11"/>
      <c r="AV112" s="11"/>
      <c r="AW112" s="11"/>
      <c r="AX112" s="11"/>
      <c r="AY112" s="11"/>
      <c r="AZ112" s="11"/>
      <c r="BA112" s="11"/>
      <c r="BB112" s="12"/>
      <c r="BC112" s="3"/>
      <c r="BD112" s="3"/>
      <c r="BE112" s="3"/>
      <c r="BF112" s="3"/>
      <c r="BG112" s="3"/>
      <c r="BH112" s="3"/>
      <c r="BI112" s="3"/>
      <c r="BJ112" s="3"/>
      <c r="BK112" s="3"/>
      <c r="BL112" s="7"/>
      <c r="BM112" s="3"/>
      <c r="BN112" s="3"/>
      <c r="BO112" s="3"/>
      <c r="BP112" s="3"/>
      <c r="BQ112" s="3"/>
      <c r="BR112" s="3"/>
      <c r="BS112" s="3"/>
      <c r="BT112" s="13"/>
      <c r="BU112" s="7"/>
      <c r="BV112" s="3"/>
      <c r="BW112" s="3"/>
      <c r="BX112" s="3"/>
      <c r="BY112" s="3"/>
      <c r="BZ112" s="3"/>
      <c r="CA112" s="3"/>
      <c r="CB112" s="3"/>
      <c r="CC112" s="3"/>
      <c r="CD112" s="7"/>
      <c r="CE112" s="3"/>
      <c r="CF112" s="3"/>
      <c r="CG112" s="3"/>
      <c r="CH112" s="3"/>
      <c r="CI112" s="3"/>
      <c r="CJ112" s="3"/>
      <c r="CK112" s="3"/>
      <c r="CL112" s="3"/>
      <c r="CM112" s="3"/>
      <c r="CN112" s="7"/>
      <c r="CO112" s="3"/>
      <c r="CP112" s="3"/>
      <c r="CQ112" s="3"/>
      <c r="CR112" s="3"/>
      <c r="CS112" s="3"/>
      <c r="CT112" s="3"/>
      <c r="CU112" s="3"/>
      <c r="CV112" s="3"/>
      <c r="CW112" s="7"/>
      <c r="CX112" s="3"/>
      <c r="CY112" s="3"/>
      <c r="CZ112" s="13"/>
      <c r="DA112" s="14"/>
      <c r="DB112" s="15"/>
      <c r="DC112" s="15"/>
      <c r="DD112" s="13"/>
      <c r="DE112"/>
      <c r="DF112"/>
      <c r="DG112"/>
      <c r="DH112"/>
      <c r="DI112"/>
      <c r="DJ112" s="3"/>
    </row>
    <row r="113" customFormat="1" spans="1:114">
      <c r="A113" s="1"/>
      <c r="B113" s="2"/>
      <c r="C113" s="2"/>
      <c r="D113" s="2"/>
      <c r="E113" s="2"/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4"/>
      <c r="S113" s="5"/>
      <c r="T113" s="5"/>
      <c r="U113" s="5"/>
      <c r="V113" s="5"/>
      <c r="W113" s="5"/>
      <c r="X113" s="5"/>
      <c r="Y113" s="6"/>
      <c r="Z113" s="6"/>
      <c r="AA113" s="3"/>
      <c r="AB113" s="7"/>
      <c r="AC113" s="3"/>
      <c r="AD113" s="3"/>
      <c r="AE113" s="3"/>
      <c r="AF113" s="3"/>
      <c r="AG113" s="3"/>
      <c r="AH113" s="3"/>
      <c r="AI113" s="3"/>
      <c r="AJ113" s="3"/>
      <c r="AK113" s="8"/>
      <c r="AL113" s="9"/>
      <c r="AM113" s="9"/>
      <c r="AN113" s="9"/>
      <c r="AO113" s="9"/>
      <c r="AP113" s="9"/>
      <c r="AQ113" s="9"/>
      <c r="AR113" s="9"/>
      <c r="AS113" s="9"/>
      <c r="AT113" s="10"/>
      <c r="AU113" s="11"/>
      <c r="AV113" s="11"/>
      <c r="AW113" s="11"/>
      <c r="AX113" s="11"/>
      <c r="AY113" s="11"/>
      <c r="AZ113" s="11"/>
      <c r="BA113" s="11"/>
      <c r="BB113" s="12"/>
      <c r="BC113" s="3"/>
      <c r="BD113" s="3"/>
      <c r="BE113" s="3"/>
      <c r="BF113" s="3"/>
      <c r="BG113" s="3"/>
      <c r="BH113" s="3"/>
      <c r="BI113" s="3"/>
      <c r="BJ113" s="3"/>
      <c r="BK113" s="3"/>
      <c r="BL113" s="7"/>
      <c r="BM113" s="3"/>
      <c r="BN113" s="3"/>
      <c r="BO113" s="3"/>
      <c r="BP113" s="3"/>
      <c r="BQ113" s="3"/>
      <c r="BR113" s="3"/>
      <c r="BS113" s="3"/>
      <c r="BT113" s="13"/>
      <c r="BU113" s="7"/>
      <c r="BV113" s="3"/>
      <c r="BW113" s="3"/>
      <c r="BX113" s="3"/>
      <c r="BY113" s="3"/>
      <c r="BZ113" s="3"/>
      <c r="CA113" s="3"/>
      <c r="CB113" s="3"/>
      <c r="CC113" s="3"/>
      <c r="CD113" s="7"/>
      <c r="CE113" s="3"/>
      <c r="CF113" s="3"/>
      <c r="CG113" s="3"/>
      <c r="CH113" s="3"/>
      <c r="CI113" s="3"/>
      <c r="CJ113" s="3"/>
      <c r="CK113" s="3"/>
      <c r="CL113" s="3"/>
      <c r="CM113" s="3"/>
      <c r="CN113" s="7"/>
      <c r="CO113" s="3"/>
      <c r="CP113" s="3"/>
      <c r="CQ113" s="3"/>
      <c r="CR113" s="3"/>
      <c r="CS113" s="3"/>
      <c r="CT113" s="3"/>
      <c r="CU113" s="3"/>
      <c r="CV113" s="3"/>
      <c r="CW113" s="7"/>
      <c r="CX113" s="3"/>
      <c r="CY113" s="3"/>
      <c r="CZ113" s="13"/>
      <c r="DA113" s="14"/>
      <c r="DB113" s="15"/>
      <c r="DC113" s="15"/>
      <c r="DD113" s="13"/>
      <c r="DE113"/>
      <c r="DF113"/>
      <c r="DG113"/>
      <c r="DH113"/>
      <c r="DI113"/>
      <c r="DJ113" s="3"/>
    </row>
    <row r="114" customFormat="1" spans="1:114">
      <c r="A114" s="1"/>
      <c r="B114" s="2"/>
      <c r="C114" s="2"/>
      <c r="D114" s="2"/>
      <c r="E114" s="2"/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4"/>
      <c r="S114" s="5"/>
      <c r="T114" s="5"/>
      <c r="U114" s="5"/>
      <c r="V114" s="5"/>
      <c r="W114" s="5"/>
      <c r="X114" s="5"/>
      <c r="Y114" s="6"/>
      <c r="Z114" s="6"/>
      <c r="AA114" s="3"/>
      <c r="AB114" s="7"/>
      <c r="AC114" s="3"/>
      <c r="AD114" s="3"/>
      <c r="AE114" s="3"/>
      <c r="AF114" s="3"/>
      <c r="AG114" s="3"/>
      <c r="AH114" s="3"/>
      <c r="AI114" s="3"/>
      <c r="AJ114" s="3"/>
      <c r="AK114" s="8"/>
      <c r="AL114" s="9"/>
      <c r="AM114" s="9"/>
      <c r="AN114" s="9"/>
      <c r="AO114" s="9"/>
      <c r="AP114" s="9"/>
      <c r="AQ114" s="9"/>
      <c r="AR114" s="9"/>
      <c r="AS114" s="9"/>
      <c r="AT114" s="10"/>
      <c r="AU114" s="11"/>
      <c r="AV114" s="11"/>
      <c r="AW114" s="11"/>
      <c r="AX114" s="11"/>
      <c r="AY114" s="11"/>
      <c r="AZ114" s="11"/>
      <c r="BA114" s="11"/>
      <c r="BB114" s="12"/>
      <c r="BC114" s="3"/>
      <c r="BD114" s="3"/>
      <c r="BE114" s="3"/>
      <c r="BF114" s="3"/>
      <c r="BG114" s="3"/>
      <c r="BH114" s="3"/>
      <c r="BI114" s="3"/>
      <c r="BJ114" s="3"/>
      <c r="BK114" s="3"/>
      <c r="BL114" s="7"/>
      <c r="BM114" s="3"/>
      <c r="BN114" s="3"/>
      <c r="BO114" s="3"/>
      <c r="BP114" s="3"/>
      <c r="BQ114" s="3"/>
      <c r="BR114" s="3"/>
      <c r="BS114" s="3"/>
      <c r="BT114" s="13"/>
      <c r="BU114" s="7"/>
      <c r="BV114" s="3"/>
      <c r="BW114" s="3"/>
      <c r="BX114" s="3"/>
      <c r="BY114" s="3"/>
      <c r="BZ114" s="3"/>
      <c r="CA114" s="3"/>
      <c r="CB114" s="3"/>
      <c r="CC114" s="3"/>
      <c r="CD114" s="7"/>
      <c r="CE114" s="3"/>
      <c r="CF114" s="3"/>
      <c r="CG114" s="3"/>
      <c r="CH114" s="3"/>
      <c r="CI114" s="3"/>
      <c r="CJ114" s="3"/>
      <c r="CK114" s="3"/>
      <c r="CL114" s="3"/>
      <c r="CM114" s="3"/>
      <c r="CN114" s="7"/>
      <c r="CO114" s="3"/>
      <c r="CP114" s="3"/>
      <c r="CQ114" s="3"/>
      <c r="CR114" s="3"/>
      <c r="CS114" s="3"/>
      <c r="CT114" s="3"/>
      <c r="CU114" s="3"/>
      <c r="CV114" s="3"/>
      <c r="CW114" s="7"/>
      <c r="CX114" s="3"/>
      <c r="CY114" s="3"/>
      <c r="CZ114" s="13"/>
      <c r="DA114" s="14"/>
      <c r="DB114" s="15"/>
      <c r="DC114" s="15"/>
      <c r="DD114" s="13"/>
      <c r="DE114"/>
      <c r="DF114"/>
      <c r="DG114"/>
      <c r="DH114"/>
      <c r="DI114"/>
      <c r="DJ114" s="3"/>
    </row>
    <row r="115" customFormat="1" spans="1:114">
      <c r="A115" s="1"/>
      <c r="B115" s="2"/>
      <c r="C115" s="2"/>
      <c r="D115" s="2"/>
      <c r="E115" s="2"/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4"/>
      <c r="S115" s="5"/>
      <c r="T115" s="5"/>
      <c r="U115" s="5"/>
      <c r="V115" s="5"/>
      <c r="W115" s="5"/>
      <c r="X115" s="5"/>
      <c r="Y115" s="6"/>
      <c r="Z115" s="6"/>
      <c r="AA115" s="3"/>
      <c r="AB115" s="7"/>
      <c r="AC115" s="3"/>
      <c r="AD115" s="3"/>
      <c r="AE115" s="3"/>
      <c r="AF115" s="3"/>
      <c r="AG115" s="3"/>
      <c r="AH115" s="3"/>
      <c r="AI115" s="3"/>
      <c r="AJ115" s="3"/>
      <c r="AK115" s="8"/>
      <c r="AL115" s="9"/>
      <c r="AM115" s="9"/>
      <c r="AN115" s="9"/>
      <c r="AO115" s="9"/>
      <c r="AP115" s="9"/>
      <c r="AQ115" s="9"/>
      <c r="AR115" s="9"/>
      <c r="AS115" s="9"/>
      <c r="AT115" s="10"/>
      <c r="AU115" s="11"/>
      <c r="AV115" s="11"/>
      <c r="AW115" s="11"/>
      <c r="AX115" s="11"/>
      <c r="AY115" s="11"/>
      <c r="AZ115" s="11"/>
      <c r="BA115" s="11"/>
      <c r="BB115" s="12"/>
      <c r="BC115" s="3"/>
      <c r="BD115" s="3"/>
      <c r="BE115" s="3"/>
      <c r="BF115" s="3"/>
      <c r="BG115" s="3"/>
      <c r="BH115" s="3"/>
      <c r="BI115" s="3"/>
      <c r="BJ115" s="3"/>
      <c r="BK115" s="3"/>
      <c r="BL115" s="7"/>
      <c r="BM115" s="3"/>
      <c r="BN115" s="3"/>
      <c r="BO115" s="3"/>
      <c r="BP115" s="3"/>
      <c r="BQ115" s="3"/>
      <c r="BR115" s="3"/>
      <c r="BS115" s="3"/>
      <c r="BT115" s="13"/>
      <c r="BU115" s="7"/>
      <c r="BV115" s="3"/>
      <c r="BW115" s="3"/>
      <c r="BX115" s="3"/>
      <c r="BY115" s="3"/>
      <c r="BZ115" s="3"/>
      <c r="CA115" s="3"/>
      <c r="CB115" s="3"/>
      <c r="CC115" s="3"/>
      <c r="CD115" s="7"/>
      <c r="CE115" s="3"/>
      <c r="CF115" s="3"/>
      <c r="CG115" s="3"/>
      <c r="CH115" s="3"/>
      <c r="CI115" s="3"/>
      <c r="CJ115" s="3"/>
      <c r="CK115" s="3"/>
      <c r="CL115" s="3"/>
      <c r="CM115" s="3"/>
      <c r="CN115" s="7"/>
      <c r="CO115" s="3"/>
      <c r="CP115" s="3"/>
      <c r="CQ115" s="3"/>
      <c r="CR115" s="3"/>
      <c r="CS115" s="3"/>
      <c r="CT115" s="3"/>
      <c r="CU115" s="3"/>
      <c r="CV115" s="3"/>
      <c r="CW115" s="7"/>
      <c r="CX115" s="3"/>
      <c r="CY115" s="3"/>
      <c r="CZ115" s="13"/>
      <c r="DA115" s="14"/>
      <c r="DB115" s="15"/>
      <c r="DC115" s="15"/>
      <c r="DD115" s="13"/>
      <c r="DE115"/>
      <c r="DF115"/>
      <c r="DG115"/>
      <c r="DH115"/>
      <c r="DI115"/>
      <c r="DJ115" s="3"/>
    </row>
    <row r="116" customFormat="1" spans="1:114">
      <c r="A116" s="1"/>
      <c r="B116" s="2"/>
      <c r="C116" s="2"/>
      <c r="D116" s="2"/>
      <c r="E116" s="2"/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4"/>
      <c r="S116" s="5"/>
      <c r="T116" s="5"/>
      <c r="U116" s="5"/>
      <c r="V116" s="5"/>
      <c r="W116" s="5"/>
      <c r="X116" s="5"/>
      <c r="Y116" s="6"/>
      <c r="Z116" s="6"/>
      <c r="AA116" s="3"/>
      <c r="AB116" s="7"/>
      <c r="AC116" s="3"/>
      <c r="AD116" s="3"/>
      <c r="AE116" s="3"/>
      <c r="AF116" s="3"/>
      <c r="AG116" s="3"/>
      <c r="AH116" s="3"/>
      <c r="AI116" s="3"/>
      <c r="AJ116" s="3"/>
      <c r="AK116" s="8"/>
      <c r="AL116" s="9"/>
      <c r="AM116" s="9"/>
      <c r="AN116" s="9"/>
      <c r="AO116" s="9"/>
      <c r="AP116" s="9"/>
      <c r="AQ116" s="9"/>
      <c r="AR116" s="9"/>
      <c r="AS116" s="9"/>
      <c r="AT116" s="10"/>
      <c r="AU116" s="11"/>
      <c r="AV116" s="11"/>
      <c r="AW116" s="11"/>
      <c r="AX116" s="11"/>
      <c r="AY116" s="11"/>
      <c r="AZ116" s="11"/>
      <c r="BA116" s="11"/>
      <c r="BB116" s="12"/>
      <c r="BC116" s="3"/>
      <c r="BD116" s="3"/>
      <c r="BE116" s="3"/>
      <c r="BF116" s="3"/>
      <c r="BG116" s="3"/>
      <c r="BH116" s="3"/>
      <c r="BI116" s="3"/>
      <c r="BJ116" s="3"/>
      <c r="BK116" s="3"/>
      <c r="BL116" s="7"/>
      <c r="BM116" s="3"/>
      <c r="BN116" s="3"/>
      <c r="BO116" s="3"/>
      <c r="BP116" s="3"/>
      <c r="BQ116" s="3"/>
      <c r="BR116" s="3"/>
      <c r="BS116" s="3"/>
      <c r="BT116" s="13"/>
      <c r="BU116" s="7"/>
      <c r="BV116" s="3"/>
      <c r="BW116" s="3"/>
      <c r="BX116" s="3"/>
      <c r="BY116" s="3"/>
      <c r="BZ116" s="3"/>
      <c r="CA116" s="3"/>
      <c r="CB116" s="3"/>
      <c r="CC116" s="3"/>
      <c r="CD116" s="7"/>
      <c r="CE116" s="3"/>
      <c r="CF116" s="3"/>
      <c r="CG116" s="3"/>
      <c r="CH116" s="3"/>
      <c r="CI116" s="3"/>
      <c r="CJ116" s="3"/>
      <c r="CK116" s="3"/>
      <c r="CL116" s="3"/>
      <c r="CM116" s="3"/>
      <c r="CN116" s="7"/>
      <c r="CO116" s="3"/>
      <c r="CP116" s="3"/>
      <c r="CQ116" s="3"/>
      <c r="CR116" s="3"/>
      <c r="CS116" s="3"/>
      <c r="CT116" s="3"/>
      <c r="CU116" s="3"/>
      <c r="CV116" s="3"/>
      <c r="CW116" s="7"/>
      <c r="CX116" s="3"/>
      <c r="CY116" s="3"/>
      <c r="CZ116" s="13"/>
      <c r="DA116" s="14"/>
      <c r="DB116" s="15"/>
      <c r="DC116" s="15"/>
      <c r="DD116" s="13"/>
      <c r="DE116"/>
      <c r="DF116"/>
      <c r="DG116"/>
      <c r="DH116"/>
      <c r="DI116"/>
      <c r="DJ116" s="3"/>
    </row>
    <row r="117" customFormat="1" spans="1:114">
      <c r="A117" s="1"/>
      <c r="B117" s="2"/>
      <c r="C117" s="2"/>
      <c r="D117" s="2"/>
      <c r="E117" s="2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4"/>
      <c r="S117" s="5"/>
      <c r="T117" s="5"/>
      <c r="U117" s="5"/>
      <c r="V117" s="5"/>
      <c r="W117" s="5"/>
      <c r="X117" s="5"/>
      <c r="Y117" s="6"/>
      <c r="Z117" s="6"/>
      <c r="AA117" s="3"/>
      <c r="AB117" s="7"/>
      <c r="AC117" s="3"/>
      <c r="AD117" s="3"/>
      <c r="AE117" s="3"/>
      <c r="AF117" s="3"/>
      <c r="AG117" s="3"/>
      <c r="AH117" s="3"/>
      <c r="AI117" s="3"/>
      <c r="AJ117" s="3"/>
      <c r="AK117" s="8"/>
      <c r="AL117" s="9"/>
      <c r="AM117" s="9"/>
      <c r="AN117" s="9"/>
      <c r="AO117" s="9"/>
      <c r="AP117" s="9"/>
      <c r="AQ117" s="9"/>
      <c r="AR117" s="9"/>
      <c r="AS117" s="9"/>
      <c r="AT117" s="10"/>
      <c r="AU117" s="11"/>
      <c r="AV117" s="11"/>
      <c r="AW117" s="11"/>
      <c r="AX117" s="11"/>
      <c r="AY117" s="11"/>
      <c r="AZ117" s="11"/>
      <c r="BA117" s="11"/>
      <c r="BB117" s="12"/>
      <c r="BC117" s="3"/>
      <c r="BD117" s="3"/>
      <c r="BE117" s="3"/>
      <c r="BF117" s="3"/>
      <c r="BG117" s="3"/>
      <c r="BH117" s="3"/>
      <c r="BI117" s="3"/>
      <c r="BJ117" s="3"/>
      <c r="BK117" s="3"/>
      <c r="BL117" s="7"/>
      <c r="BM117" s="3"/>
      <c r="BN117" s="3"/>
      <c r="BO117" s="3"/>
      <c r="BP117" s="3"/>
      <c r="BQ117" s="3"/>
      <c r="BR117" s="3"/>
      <c r="BS117" s="3"/>
      <c r="BT117" s="13"/>
      <c r="BU117" s="7"/>
      <c r="BV117" s="3"/>
      <c r="BW117" s="3"/>
      <c r="BX117" s="3"/>
      <c r="BY117" s="3"/>
      <c r="BZ117" s="3"/>
      <c r="CA117" s="3"/>
      <c r="CB117" s="3"/>
      <c r="CC117" s="3"/>
      <c r="CD117" s="7"/>
      <c r="CE117" s="3"/>
      <c r="CF117" s="3"/>
      <c r="CG117" s="3"/>
      <c r="CH117" s="3"/>
      <c r="CI117" s="3"/>
      <c r="CJ117" s="3"/>
      <c r="CK117" s="3"/>
      <c r="CL117" s="3"/>
      <c r="CM117" s="3"/>
      <c r="CN117" s="7"/>
      <c r="CO117" s="3"/>
      <c r="CP117" s="3"/>
      <c r="CQ117" s="3"/>
      <c r="CR117" s="3"/>
      <c r="CS117" s="3"/>
      <c r="CT117" s="3"/>
      <c r="CU117" s="3"/>
      <c r="CV117" s="3"/>
      <c r="CW117" s="7"/>
      <c r="CX117" s="3"/>
      <c r="CY117" s="3"/>
      <c r="CZ117" s="13"/>
      <c r="DA117" s="14"/>
      <c r="DB117" s="15"/>
      <c r="DC117" s="15"/>
      <c r="DD117" s="13"/>
      <c r="DE117"/>
      <c r="DF117"/>
      <c r="DG117"/>
      <c r="DH117"/>
      <c r="DI117"/>
      <c r="DJ117" s="3"/>
    </row>
    <row r="118" customFormat="1" spans="1:114">
      <c r="A118" s="1"/>
      <c r="B118" s="2"/>
      <c r="C118" s="2"/>
      <c r="D118" s="2"/>
      <c r="E118" s="2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4"/>
      <c r="S118" s="5"/>
      <c r="T118" s="5"/>
      <c r="U118" s="5"/>
      <c r="V118" s="5"/>
      <c r="W118" s="5"/>
      <c r="X118" s="5"/>
      <c r="Y118" s="6"/>
      <c r="Z118" s="6"/>
      <c r="AA118" s="3"/>
      <c r="AB118" s="7"/>
      <c r="AC118" s="3"/>
      <c r="AD118" s="3"/>
      <c r="AE118" s="3"/>
      <c r="AF118" s="3"/>
      <c r="AG118" s="3"/>
      <c r="AH118" s="3"/>
      <c r="AI118" s="3"/>
      <c r="AJ118" s="3"/>
      <c r="AK118" s="8"/>
      <c r="AL118" s="9"/>
      <c r="AM118" s="9"/>
      <c r="AN118" s="9"/>
      <c r="AO118" s="9"/>
      <c r="AP118" s="9"/>
      <c r="AQ118" s="9"/>
      <c r="AR118" s="9"/>
      <c r="AS118" s="9"/>
      <c r="AT118" s="10"/>
      <c r="AU118" s="11"/>
      <c r="AV118" s="11"/>
      <c r="AW118" s="11"/>
      <c r="AX118" s="11"/>
      <c r="AY118" s="11"/>
      <c r="AZ118" s="11"/>
      <c r="BA118" s="11"/>
      <c r="BB118" s="12"/>
      <c r="BC118" s="3"/>
      <c r="BD118" s="3"/>
      <c r="BE118" s="3"/>
      <c r="BF118" s="3"/>
      <c r="BG118" s="3"/>
      <c r="BH118" s="3"/>
      <c r="BI118" s="3"/>
      <c r="BJ118" s="3"/>
      <c r="BK118" s="3"/>
      <c r="BL118" s="7"/>
      <c r="BM118" s="3"/>
      <c r="BN118" s="3"/>
      <c r="BO118" s="3"/>
      <c r="BP118" s="3"/>
      <c r="BQ118" s="3"/>
      <c r="BR118" s="3"/>
      <c r="BS118" s="3"/>
      <c r="BT118" s="13"/>
      <c r="BU118" s="7"/>
      <c r="BV118" s="3"/>
      <c r="BW118" s="3"/>
      <c r="BX118" s="3"/>
      <c r="BY118" s="3"/>
      <c r="BZ118" s="3"/>
      <c r="CA118" s="3"/>
      <c r="CB118" s="3"/>
      <c r="CC118" s="3"/>
      <c r="CD118" s="7"/>
      <c r="CE118" s="3"/>
      <c r="CF118" s="3"/>
      <c r="CG118" s="3"/>
      <c r="CH118" s="3"/>
      <c r="CI118" s="3"/>
      <c r="CJ118" s="3"/>
      <c r="CK118" s="3"/>
      <c r="CL118" s="3"/>
      <c r="CM118" s="3"/>
      <c r="CN118" s="7"/>
      <c r="CO118" s="3"/>
      <c r="CP118" s="3"/>
      <c r="CQ118" s="3"/>
      <c r="CR118" s="3"/>
      <c r="CS118" s="3"/>
      <c r="CT118" s="3"/>
      <c r="CU118" s="3"/>
      <c r="CV118" s="3"/>
      <c r="CW118" s="7"/>
      <c r="CX118" s="3"/>
      <c r="CY118" s="3"/>
      <c r="CZ118" s="13"/>
      <c r="DA118" s="14"/>
      <c r="DB118" s="15"/>
      <c r="DC118" s="15"/>
      <c r="DD118" s="13"/>
      <c r="DE118"/>
      <c r="DF118"/>
      <c r="DG118"/>
      <c r="DH118"/>
      <c r="DI118"/>
      <c r="DJ118" s="3"/>
    </row>
    <row r="119" customFormat="1" spans="1:114">
      <c r="A119" s="1"/>
      <c r="B119" s="2"/>
      <c r="C119" s="2"/>
      <c r="D119" s="2"/>
      <c r="E119" s="2"/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4"/>
      <c r="S119" s="5"/>
      <c r="T119" s="5"/>
      <c r="U119" s="5"/>
      <c r="V119" s="5"/>
      <c r="W119" s="5"/>
      <c r="X119" s="5"/>
      <c r="Y119" s="6"/>
      <c r="Z119" s="6"/>
      <c r="AA119" s="3"/>
      <c r="AB119" s="7"/>
      <c r="AC119" s="3"/>
      <c r="AD119" s="3"/>
      <c r="AE119" s="3"/>
      <c r="AF119" s="3"/>
      <c r="AG119" s="3"/>
      <c r="AH119" s="3"/>
      <c r="AI119" s="3"/>
      <c r="AJ119" s="3"/>
      <c r="AK119" s="8"/>
      <c r="AL119" s="9"/>
      <c r="AM119" s="9"/>
      <c r="AN119" s="9"/>
      <c r="AO119" s="9"/>
      <c r="AP119" s="9"/>
      <c r="AQ119" s="9"/>
      <c r="AR119" s="9"/>
      <c r="AS119" s="9"/>
      <c r="AT119" s="10"/>
      <c r="AU119" s="11"/>
      <c r="AV119" s="11"/>
      <c r="AW119" s="11"/>
      <c r="AX119" s="11"/>
      <c r="AY119" s="11"/>
      <c r="AZ119" s="11"/>
      <c r="BA119" s="11"/>
      <c r="BB119" s="12"/>
      <c r="BC119" s="3"/>
      <c r="BD119" s="3"/>
      <c r="BE119" s="3"/>
      <c r="BF119" s="3"/>
      <c r="BG119" s="3"/>
      <c r="BH119" s="3"/>
      <c r="BI119" s="3"/>
      <c r="BJ119" s="3"/>
      <c r="BK119" s="3"/>
      <c r="BL119" s="7"/>
      <c r="BM119" s="3"/>
      <c r="BN119" s="3"/>
      <c r="BO119" s="3"/>
      <c r="BP119" s="3"/>
      <c r="BQ119" s="3"/>
      <c r="BR119" s="3"/>
      <c r="BS119" s="3"/>
      <c r="BT119" s="13"/>
      <c r="BU119" s="7"/>
      <c r="BV119" s="3"/>
      <c r="BW119" s="3"/>
      <c r="BX119" s="3"/>
      <c r="BY119" s="3"/>
      <c r="BZ119" s="3"/>
      <c r="CA119" s="3"/>
      <c r="CB119" s="3"/>
      <c r="CC119" s="3"/>
      <c r="CD119" s="7"/>
      <c r="CE119" s="3"/>
      <c r="CF119" s="3"/>
      <c r="CG119" s="3"/>
      <c r="CH119" s="3"/>
      <c r="CI119" s="3"/>
      <c r="CJ119" s="3"/>
      <c r="CK119" s="3"/>
      <c r="CL119" s="3"/>
      <c r="CM119" s="3"/>
      <c r="CN119" s="7"/>
      <c r="CO119" s="3"/>
      <c r="CP119" s="3"/>
      <c r="CQ119" s="3"/>
      <c r="CR119" s="3"/>
      <c r="CS119" s="3"/>
      <c r="CT119" s="3"/>
      <c r="CU119" s="3"/>
      <c r="CV119" s="3"/>
      <c r="CW119" s="7"/>
      <c r="CX119" s="3"/>
      <c r="CY119" s="3"/>
      <c r="CZ119" s="13"/>
      <c r="DA119" s="14"/>
      <c r="DB119" s="15"/>
      <c r="DC119" s="15"/>
      <c r="DD119" s="13"/>
      <c r="DE119"/>
      <c r="DF119"/>
      <c r="DG119"/>
      <c r="DH119"/>
      <c r="DI119"/>
      <c r="DJ119" s="3"/>
    </row>
    <row r="120" customFormat="1" spans="1:114">
      <c r="A120" s="1"/>
      <c r="B120" s="2"/>
      <c r="C120" s="2"/>
      <c r="D120" s="2"/>
      <c r="E120" s="2"/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4"/>
      <c r="S120" s="5"/>
      <c r="T120" s="5"/>
      <c r="U120" s="5"/>
      <c r="V120" s="5"/>
      <c r="W120" s="5"/>
      <c r="X120" s="5"/>
      <c r="Y120" s="6"/>
      <c r="Z120" s="6"/>
      <c r="AA120" s="3"/>
      <c r="AB120" s="7"/>
      <c r="AC120" s="3"/>
      <c r="AD120" s="3"/>
      <c r="AE120" s="3"/>
      <c r="AF120" s="3"/>
      <c r="AG120" s="3"/>
      <c r="AH120" s="3"/>
      <c r="AI120" s="3"/>
      <c r="AJ120" s="3"/>
      <c r="AK120" s="8"/>
      <c r="AL120" s="9"/>
      <c r="AM120" s="9"/>
      <c r="AN120" s="9"/>
      <c r="AO120" s="9"/>
      <c r="AP120" s="9"/>
      <c r="AQ120" s="9"/>
      <c r="AR120" s="9"/>
      <c r="AS120" s="9"/>
      <c r="AT120" s="10"/>
      <c r="AU120" s="11"/>
      <c r="AV120" s="11"/>
      <c r="AW120" s="11"/>
      <c r="AX120" s="11"/>
      <c r="AY120" s="11"/>
      <c r="AZ120" s="11"/>
      <c r="BA120" s="11"/>
      <c r="BB120" s="12"/>
      <c r="BC120" s="3"/>
      <c r="BD120" s="3"/>
      <c r="BE120" s="3"/>
      <c r="BF120" s="3"/>
      <c r="BG120" s="3"/>
      <c r="BH120" s="3"/>
      <c r="BI120" s="3"/>
      <c r="BJ120" s="3"/>
      <c r="BK120" s="3"/>
      <c r="BL120" s="7"/>
      <c r="BM120" s="3"/>
      <c r="BN120" s="3"/>
      <c r="BO120" s="3"/>
      <c r="BP120" s="3"/>
      <c r="BQ120" s="3"/>
      <c r="BR120" s="3"/>
      <c r="BS120" s="3"/>
      <c r="BT120" s="13"/>
      <c r="BU120" s="7"/>
      <c r="BV120" s="3"/>
      <c r="BW120" s="3"/>
      <c r="BX120" s="3"/>
      <c r="BY120" s="3"/>
      <c r="BZ120" s="3"/>
      <c r="CA120" s="3"/>
      <c r="CB120" s="3"/>
      <c r="CC120" s="3"/>
      <c r="CD120" s="7"/>
      <c r="CE120" s="3"/>
      <c r="CF120" s="3"/>
      <c r="CG120" s="3"/>
      <c r="CH120" s="3"/>
      <c r="CI120" s="3"/>
      <c r="CJ120" s="3"/>
      <c r="CK120" s="3"/>
      <c r="CL120" s="3"/>
      <c r="CM120" s="3"/>
      <c r="CN120" s="7"/>
      <c r="CO120" s="3"/>
      <c r="CP120" s="3"/>
      <c r="CQ120" s="3"/>
      <c r="CR120" s="3"/>
      <c r="CS120" s="3"/>
      <c r="CT120" s="3"/>
      <c r="CU120" s="3"/>
      <c r="CV120" s="3"/>
      <c r="CW120" s="7"/>
      <c r="CX120" s="3"/>
      <c r="CY120" s="3"/>
      <c r="CZ120" s="13"/>
      <c r="DA120" s="14"/>
      <c r="DB120" s="15"/>
      <c r="DC120" s="15"/>
      <c r="DD120" s="13"/>
      <c r="DE120"/>
      <c r="DF120"/>
      <c r="DG120"/>
      <c r="DH120"/>
      <c r="DI120"/>
      <c r="DJ120" s="3"/>
    </row>
    <row r="121" customFormat="1" spans="1:114">
      <c r="A121" s="1"/>
      <c r="B121" s="2"/>
      <c r="C121" s="2"/>
      <c r="D121" s="2"/>
      <c r="E121" s="2"/>
      <c r="F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4"/>
      <c r="S121" s="5"/>
      <c r="T121" s="5"/>
      <c r="U121" s="5"/>
      <c r="V121" s="5"/>
      <c r="W121" s="5"/>
      <c r="X121" s="5"/>
      <c r="Y121" s="6"/>
      <c r="Z121" s="6"/>
      <c r="AA121" s="3"/>
      <c r="AB121" s="7"/>
      <c r="AC121" s="3"/>
      <c r="AD121" s="3"/>
      <c r="AE121" s="3"/>
      <c r="AF121" s="3"/>
      <c r="AG121" s="3"/>
      <c r="AH121" s="3"/>
      <c r="AI121" s="3"/>
      <c r="AJ121" s="3"/>
      <c r="AK121" s="8"/>
      <c r="AL121" s="9"/>
      <c r="AM121" s="9"/>
      <c r="AN121" s="9"/>
      <c r="AO121" s="9"/>
      <c r="AP121" s="9"/>
      <c r="AQ121" s="9"/>
      <c r="AR121" s="9"/>
      <c r="AS121" s="9"/>
      <c r="AT121" s="10"/>
      <c r="AU121" s="11"/>
      <c r="AV121" s="11"/>
      <c r="AW121" s="11"/>
      <c r="AX121" s="11"/>
      <c r="AY121" s="11"/>
      <c r="AZ121" s="11"/>
      <c r="BA121" s="11"/>
      <c r="BB121" s="12"/>
      <c r="BC121" s="3"/>
      <c r="BD121" s="3"/>
      <c r="BE121" s="3"/>
      <c r="BF121" s="3"/>
      <c r="BG121" s="3"/>
      <c r="BH121" s="3"/>
      <c r="BI121" s="3"/>
      <c r="BJ121" s="3"/>
      <c r="BK121" s="3"/>
      <c r="BL121" s="7"/>
      <c r="BM121" s="3"/>
      <c r="BN121" s="3"/>
      <c r="BO121" s="3"/>
      <c r="BP121" s="3"/>
      <c r="BQ121" s="3"/>
      <c r="BR121" s="3"/>
      <c r="BS121" s="3"/>
      <c r="BT121" s="13"/>
      <c r="BU121" s="7"/>
      <c r="BV121" s="3"/>
      <c r="BW121" s="3"/>
      <c r="BX121" s="3"/>
      <c r="BY121" s="3"/>
      <c r="BZ121" s="3"/>
      <c r="CA121" s="3"/>
      <c r="CB121" s="3"/>
      <c r="CC121" s="3"/>
      <c r="CD121" s="7"/>
      <c r="CE121" s="3"/>
      <c r="CF121" s="3"/>
      <c r="CG121" s="3"/>
      <c r="CH121" s="3"/>
      <c r="CI121" s="3"/>
      <c r="CJ121" s="3"/>
      <c r="CK121" s="3"/>
      <c r="CL121" s="3"/>
      <c r="CM121" s="3"/>
      <c r="CN121" s="7"/>
      <c r="CO121" s="3"/>
      <c r="CP121" s="3"/>
      <c r="CQ121" s="3"/>
      <c r="CR121" s="3"/>
      <c r="CS121" s="3"/>
      <c r="CT121" s="3"/>
      <c r="CU121" s="3"/>
      <c r="CV121" s="3"/>
      <c r="CW121" s="7"/>
      <c r="CX121" s="3"/>
      <c r="CY121" s="3"/>
      <c r="CZ121" s="13"/>
      <c r="DA121" s="14"/>
      <c r="DB121" s="15"/>
      <c r="DC121" s="15"/>
      <c r="DD121" s="13"/>
      <c r="DE121"/>
      <c r="DF121"/>
      <c r="DG121"/>
      <c r="DH121"/>
      <c r="DI121"/>
      <c r="DJ121" s="3"/>
    </row>
    <row r="122" customFormat="1" spans="1:114">
      <c r="A122" s="1"/>
      <c r="B122" s="2"/>
      <c r="C122" s="2"/>
      <c r="D122" s="2"/>
      <c r="E122" s="2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4"/>
      <c r="S122" s="5"/>
      <c r="T122" s="5"/>
      <c r="U122" s="5"/>
      <c r="V122" s="5"/>
      <c r="W122" s="5"/>
      <c r="X122" s="5"/>
      <c r="Y122" s="6"/>
      <c r="Z122" s="6"/>
      <c r="AA122" s="3"/>
      <c r="AB122" s="7"/>
      <c r="AC122" s="3"/>
      <c r="AD122" s="3"/>
      <c r="AE122" s="3"/>
      <c r="AF122" s="3"/>
      <c r="AG122" s="3"/>
      <c r="AH122" s="3"/>
      <c r="AI122" s="3"/>
      <c r="AJ122" s="3"/>
      <c r="AK122" s="8"/>
      <c r="AL122" s="9"/>
      <c r="AM122" s="9"/>
      <c r="AN122" s="9"/>
      <c r="AO122" s="9"/>
      <c r="AP122" s="9"/>
      <c r="AQ122" s="9"/>
      <c r="AR122" s="9"/>
      <c r="AS122" s="9"/>
      <c r="AT122" s="10"/>
      <c r="AU122" s="11"/>
      <c r="AV122" s="11"/>
      <c r="AW122" s="11"/>
      <c r="AX122" s="11"/>
      <c r="AY122" s="11"/>
      <c r="AZ122" s="11"/>
      <c r="BA122" s="11"/>
      <c r="BB122" s="12"/>
      <c r="BC122" s="3"/>
      <c r="BD122" s="3"/>
      <c r="BE122" s="3"/>
      <c r="BF122" s="3"/>
      <c r="BG122" s="3"/>
      <c r="BH122" s="3"/>
      <c r="BI122" s="3"/>
      <c r="BJ122" s="3"/>
      <c r="BK122" s="3"/>
      <c r="BL122" s="7"/>
      <c r="BM122" s="3"/>
      <c r="BN122" s="3"/>
      <c r="BO122" s="3"/>
      <c r="BP122" s="3"/>
      <c r="BQ122" s="3"/>
      <c r="BR122" s="3"/>
      <c r="BS122" s="3"/>
      <c r="BT122" s="13"/>
      <c r="BU122" s="7"/>
      <c r="BV122" s="3"/>
      <c r="BW122" s="3"/>
      <c r="BX122" s="3"/>
      <c r="BY122" s="3"/>
      <c r="BZ122" s="3"/>
      <c r="CA122" s="3"/>
      <c r="CB122" s="3"/>
      <c r="CC122" s="3"/>
      <c r="CD122" s="7"/>
      <c r="CE122" s="3"/>
      <c r="CF122" s="3"/>
      <c r="CG122" s="3"/>
      <c r="CH122" s="3"/>
      <c r="CI122" s="3"/>
      <c r="CJ122" s="3"/>
      <c r="CK122" s="3"/>
      <c r="CL122" s="3"/>
      <c r="CM122" s="3"/>
      <c r="CN122" s="7"/>
      <c r="CO122" s="3"/>
      <c r="CP122" s="3"/>
      <c r="CQ122" s="3"/>
      <c r="CR122" s="3"/>
      <c r="CS122" s="3"/>
      <c r="CT122" s="3"/>
      <c r="CU122" s="3"/>
      <c r="CV122" s="3"/>
      <c r="CW122" s="7"/>
      <c r="CX122" s="3"/>
      <c r="CY122" s="3"/>
      <c r="CZ122" s="13"/>
      <c r="DA122" s="14"/>
      <c r="DB122" s="15"/>
      <c r="DC122" s="15"/>
      <c r="DD122" s="13"/>
      <c r="DE122"/>
      <c r="DF122"/>
      <c r="DG122"/>
      <c r="DH122"/>
      <c r="DI122"/>
      <c r="DJ122" s="3"/>
    </row>
    <row r="123" customFormat="1" spans="1:114">
      <c r="A123" s="1"/>
      <c r="B123" s="2"/>
      <c r="C123" s="2"/>
      <c r="D123" s="2"/>
      <c r="E123" s="2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4"/>
      <c r="S123" s="5"/>
      <c r="T123" s="5"/>
      <c r="U123" s="5"/>
      <c r="V123" s="5"/>
      <c r="W123" s="5"/>
      <c r="X123" s="5"/>
      <c r="Y123" s="6"/>
      <c r="Z123" s="6"/>
      <c r="AA123" s="3"/>
      <c r="AB123" s="7"/>
      <c r="AC123" s="3"/>
      <c r="AD123" s="3"/>
      <c r="AE123" s="3"/>
      <c r="AF123" s="3"/>
      <c r="AG123" s="3"/>
      <c r="AH123" s="3"/>
      <c r="AI123" s="3"/>
      <c r="AJ123" s="3"/>
      <c r="AK123" s="8"/>
      <c r="AL123" s="9"/>
      <c r="AM123" s="9"/>
      <c r="AN123" s="9"/>
      <c r="AO123" s="9"/>
      <c r="AP123" s="9"/>
      <c r="AQ123" s="9"/>
      <c r="AR123" s="9"/>
      <c r="AS123" s="9"/>
      <c r="AT123" s="10"/>
      <c r="AU123" s="11"/>
      <c r="AV123" s="11"/>
      <c r="AW123" s="11"/>
      <c r="AX123" s="11"/>
      <c r="AY123" s="11"/>
      <c r="AZ123" s="11"/>
      <c r="BA123" s="11"/>
      <c r="BB123" s="12"/>
      <c r="BC123" s="3"/>
      <c r="BD123" s="3"/>
      <c r="BE123" s="3"/>
      <c r="BF123" s="3"/>
      <c r="BG123" s="3"/>
      <c r="BH123" s="3"/>
      <c r="BI123" s="3"/>
      <c r="BJ123" s="3"/>
      <c r="BK123" s="3"/>
      <c r="BL123" s="7"/>
      <c r="BM123" s="3"/>
      <c r="BN123" s="3"/>
      <c r="BO123" s="3"/>
      <c r="BP123" s="3"/>
      <c r="BQ123" s="3"/>
      <c r="BR123" s="3"/>
      <c r="BS123" s="3"/>
      <c r="BT123" s="13"/>
      <c r="BU123" s="7"/>
      <c r="BV123" s="3"/>
      <c r="BW123" s="3"/>
      <c r="BX123" s="3"/>
      <c r="BY123" s="3"/>
      <c r="BZ123" s="3"/>
      <c r="CA123" s="3"/>
      <c r="CB123" s="3"/>
      <c r="CC123" s="3"/>
      <c r="CD123" s="7"/>
      <c r="CE123" s="3"/>
      <c r="CF123" s="3"/>
      <c r="CG123" s="3"/>
      <c r="CH123" s="3"/>
      <c r="CI123" s="3"/>
      <c r="CJ123" s="3"/>
      <c r="CK123" s="3"/>
      <c r="CL123" s="3"/>
      <c r="CM123" s="3"/>
      <c r="CN123" s="7"/>
      <c r="CO123" s="3"/>
      <c r="CP123" s="3"/>
      <c r="CQ123" s="3"/>
      <c r="CR123" s="3"/>
      <c r="CS123" s="3"/>
      <c r="CT123" s="3"/>
      <c r="CU123" s="3"/>
      <c r="CV123" s="3"/>
      <c r="CW123" s="7"/>
      <c r="CX123" s="3"/>
      <c r="CY123" s="3"/>
      <c r="CZ123" s="13"/>
      <c r="DA123" s="14"/>
      <c r="DB123" s="15"/>
      <c r="DC123" s="15"/>
      <c r="DD123" s="13"/>
      <c r="DE123"/>
      <c r="DF123"/>
      <c r="DG123"/>
      <c r="DH123"/>
      <c r="DI123"/>
      <c r="DJ123" s="3"/>
    </row>
    <row r="124" customFormat="1" spans="1:114">
      <c r="A124" s="1"/>
      <c r="B124" s="2"/>
      <c r="C124" s="2"/>
      <c r="D124" s="2"/>
      <c r="E124" s="2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4"/>
      <c r="S124" s="5"/>
      <c r="T124" s="5"/>
      <c r="U124" s="5"/>
      <c r="V124" s="5"/>
      <c r="W124" s="5"/>
      <c r="X124" s="5"/>
      <c r="Y124" s="6"/>
      <c r="Z124" s="6"/>
      <c r="AA124" s="3"/>
      <c r="AB124" s="7"/>
      <c r="AC124" s="3"/>
      <c r="AD124" s="3"/>
      <c r="AE124" s="3"/>
      <c r="AF124" s="3"/>
      <c r="AG124" s="3"/>
      <c r="AH124" s="3"/>
      <c r="AI124" s="3"/>
      <c r="AJ124" s="3"/>
      <c r="AK124" s="8"/>
      <c r="AL124" s="9"/>
      <c r="AM124" s="9"/>
      <c r="AN124" s="9"/>
      <c r="AO124" s="9"/>
      <c r="AP124" s="9"/>
      <c r="AQ124" s="9"/>
      <c r="AR124" s="9"/>
      <c r="AS124" s="9"/>
      <c r="AT124" s="10"/>
      <c r="AU124" s="11"/>
      <c r="AV124" s="11"/>
      <c r="AW124" s="11"/>
      <c r="AX124" s="11"/>
      <c r="AY124" s="11"/>
      <c r="AZ124" s="11"/>
      <c r="BA124" s="11"/>
      <c r="BB124" s="12"/>
      <c r="BC124" s="3"/>
      <c r="BD124" s="3"/>
      <c r="BE124" s="3"/>
      <c r="BF124" s="3"/>
      <c r="BG124" s="3"/>
      <c r="BH124" s="3"/>
      <c r="BI124" s="3"/>
      <c r="BJ124" s="3"/>
      <c r="BK124" s="3"/>
      <c r="BL124" s="7"/>
      <c r="BM124" s="3"/>
      <c r="BN124" s="3"/>
      <c r="BO124" s="3"/>
      <c r="BP124" s="3"/>
      <c r="BQ124" s="3"/>
      <c r="BR124" s="3"/>
      <c r="BS124" s="3"/>
      <c r="BT124" s="13"/>
      <c r="BU124" s="7"/>
      <c r="BV124" s="3"/>
      <c r="BW124" s="3"/>
      <c r="BX124" s="3"/>
      <c r="BY124" s="3"/>
      <c r="BZ124" s="3"/>
      <c r="CA124" s="3"/>
      <c r="CB124" s="3"/>
      <c r="CC124" s="3"/>
      <c r="CD124" s="7"/>
      <c r="CE124" s="3"/>
      <c r="CF124" s="3"/>
      <c r="CG124" s="3"/>
      <c r="CH124" s="3"/>
      <c r="CI124" s="3"/>
      <c r="CJ124" s="3"/>
      <c r="CK124" s="3"/>
      <c r="CL124" s="3"/>
      <c r="CM124" s="3"/>
      <c r="CN124" s="7"/>
      <c r="CO124" s="3"/>
      <c r="CP124" s="3"/>
      <c r="CQ124" s="3"/>
      <c r="CR124" s="3"/>
      <c r="CS124" s="3"/>
      <c r="CT124" s="3"/>
      <c r="CU124" s="3"/>
      <c r="CV124" s="3"/>
      <c r="CW124" s="7"/>
      <c r="CX124" s="3"/>
      <c r="CY124" s="3"/>
      <c r="CZ124" s="13"/>
      <c r="DA124" s="14"/>
      <c r="DB124" s="15"/>
      <c r="DC124" s="15"/>
      <c r="DD124" s="13"/>
      <c r="DE124"/>
      <c r="DF124"/>
      <c r="DG124"/>
      <c r="DH124"/>
      <c r="DI124"/>
      <c r="DJ124" s="3"/>
    </row>
    <row r="125" customFormat="1" spans="1:114">
      <c r="A125" s="1"/>
      <c r="B125" s="2"/>
      <c r="C125" s="2"/>
      <c r="D125" s="2"/>
      <c r="E125" s="2"/>
      <c r="F125" s="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4"/>
      <c r="S125" s="5"/>
      <c r="T125" s="5"/>
      <c r="U125" s="5"/>
      <c r="V125" s="5"/>
      <c r="W125" s="5"/>
      <c r="X125" s="5"/>
      <c r="Y125" s="6"/>
      <c r="Z125" s="6"/>
      <c r="AA125" s="3"/>
      <c r="AB125" s="7"/>
      <c r="AC125" s="3"/>
      <c r="AD125" s="3"/>
      <c r="AE125" s="3"/>
      <c r="AF125" s="3"/>
      <c r="AG125" s="3"/>
      <c r="AH125" s="3"/>
      <c r="AI125" s="3"/>
      <c r="AJ125" s="3"/>
      <c r="AK125" s="8"/>
      <c r="AL125" s="9"/>
      <c r="AM125" s="9"/>
      <c r="AN125" s="9"/>
      <c r="AO125" s="9"/>
      <c r="AP125" s="9"/>
      <c r="AQ125" s="9"/>
      <c r="AR125" s="9"/>
      <c r="AS125" s="9"/>
      <c r="AT125" s="10"/>
      <c r="AU125" s="11"/>
      <c r="AV125" s="11"/>
      <c r="AW125" s="11"/>
      <c r="AX125" s="11"/>
      <c r="AY125" s="11"/>
      <c r="AZ125" s="11"/>
      <c r="BA125" s="11"/>
      <c r="BB125" s="12"/>
      <c r="BC125" s="3"/>
      <c r="BD125" s="3"/>
      <c r="BE125" s="3"/>
      <c r="BF125" s="3"/>
      <c r="BG125" s="3"/>
      <c r="BH125" s="3"/>
      <c r="BI125" s="3"/>
      <c r="BJ125" s="3"/>
      <c r="BK125" s="3"/>
      <c r="BL125" s="7"/>
      <c r="BM125" s="3"/>
      <c r="BN125" s="3"/>
      <c r="BO125" s="3"/>
      <c r="BP125" s="3"/>
      <c r="BQ125" s="3"/>
      <c r="BR125" s="3"/>
      <c r="BS125" s="3"/>
      <c r="BT125" s="13"/>
      <c r="BU125" s="7"/>
      <c r="BV125" s="3"/>
      <c r="BW125" s="3"/>
      <c r="BX125" s="3"/>
      <c r="BY125" s="3"/>
      <c r="BZ125" s="3"/>
      <c r="CA125" s="3"/>
      <c r="CB125" s="3"/>
      <c r="CC125" s="3"/>
      <c r="CD125" s="7"/>
      <c r="CE125" s="3"/>
      <c r="CF125" s="3"/>
      <c r="CG125" s="3"/>
      <c r="CH125" s="3"/>
      <c r="CI125" s="3"/>
      <c r="CJ125" s="3"/>
      <c r="CK125" s="3"/>
      <c r="CL125" s="3"/>
      <c r="CM125" s="3"/>
      <c r="CN125" s="7"/>
      <c r="CO125" s="3"/>
      <c r="CP125" s="3"/>
      <c r="CQ125" s="3"/>
      <c r="CR125" s="3"/>
      <c r="CS125" s="3"/>
      <c r="CT125" s="3"/>
      <c r="CU125" s="3"/>
      <c r="CV125" s="3"/>
      <c r="CW125" s="7"/>
      <c r="CX125" s="3"/>
      <c r="CY125" s="3"/>
      <c r="CZ125" s="13"/>
      <c r="DA125" s="14"/>
      <c r="DB125" s="15"/>
      <c r="DC125" s="15"/>
      <c r="DD125" s="13"/>
      <c r="DE125"/>
      <c r="DF125"/>
      <c r="DG125"/>
      <c r="DH125"/>
      <c r="DI125"/>
      <c r="DJ125" s="3"/>
    </row>
    <row r="126" customFormat="1" spans="1:114">
      <c r="A126" s="1"/>
      <c r="B126" s="2"/>
      <c r="C126" s="2"/>
      <c r="D126" s="2"/>
      <c r="E126" s="2"/>
      <c r="F126" s="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4"/>
      <c r="S126" s="5"/>
      <c r="T126" s="5"/>
      <c r="U126" s="5"/>
      <c r="V126" s="5"/>
      <c r="W126" s="5"/>
      <c r="X126" s="5"/>
      <c r="Y126" s="6"/>
      <c r="Z126" s="6"/>
      <c r="AA126" s="3"/>
      <c r="AB126" s="7"/>
      <c r="AC126" s="3"/>
      <c r="AD126" s="3"/>
      <c r="AE126" s="3"/>
      <c r="AF126" s="3"/>
      <c r="AG126" s="3"/>
      <c r="AH126" s="3"/>
      <c r="AI126" s="3"/>
      <c r="AJ126" s="3"/>
      <c r="AK126" s="8"/>
      <c r="AL126" s="9"/>
      <c r="AM126" s="9"/>
      <c r="AN126" s="9"/>
      <c r="AO126" s="9"/>
      <c r="AP126" s="9"/>
      <c r="AQ126" s="9"/>
      <c r="AR126" s="9"/>
      <c r="AS126" s="9"/>
      <c r="AT126" s="10"/>
      <c r="AU126" s="11"/>
      <c r="AV126" s="11"/>
      <c r="AW126" s="11"/>
      <c r="AX126" s="11"/>
      <c r="AY126" s="11"/>
      <c r="AZ126" s="11"/>
      <c r="BA126" s="11"/>
      <c r="BB126" s="12"/>
      <c r="BC126" s="3"/>
      <c r="BD126" s="3"/>
      <c r="BE126" s="3"/>
      <c r="BF126" s="3"/>
      <c r="BG126" s="3"/>
      <c r="BH126" s="3"/>
      <c r="BI126" s="3"/>
      <c r="BJ126" s="3"/>
      <c r="BK126" s="3"/>
      <c r="BL126" s="7"/>
      <c r="BM126" s="3"/>
      <c r="BN126" s="3"/>
      <c r="BO126" s="3"/>
      <c r="BP126" s="3"/>
      <c r="BQ126" s="3"/>
      <c r="BR126" s="3"/>
      <c r="BS126" s="3"/>
      <c r="BT126" s="13"/>
      <c r="BU126" s="7"/>
      <c r="BV126" s="3"/>
      <c r="BW126" s="3"/>
      <c r="BX126" s="3"/>
      <c r="BY126" s="3"/>
      <c r="BZ126" s="3"/>
      <c r="CA126" s="3"/>
      <c r="CB126" s="3"/>
      <c r="CC126" s="3"/>
      <c r="CD126" s="7"/>
      <c r="CE126" s="3"/>
      <c r="CF126" s="3"/>
      <c r="CG126" s="3"/>
      <c r="CH126" s="3"/>
      <c r="CI126" s="3"/>
      <c r="CJ126" s="3"/>
      <c r="CK126" s="3"/>
      <c r="CL126" s="3"/>
      <c r="CM126" s="3"/>
      <c r="CN126" s="7"/>
      <c r="CO126" s="3"/>
      <c r="CP126" s="3"/>
      <c r="CQ126" s="3"/>
      <c r="CR126" s="3"/>
      <c r="CS126" s="3"/>
      <c r="CT126" s="3"/>
      <c r="CU126" s="3"/>
      <c r="CV126" s="3"/>
      <c r="CW126" s="7"/>
      <c r="CX126" s="3"/>
      <c r="CY126" s="3"/>
      <c r="CZ126" s="13"/>
      <c r="DA126" s="14"/>
      <c r="DB126" s="15"/>
      <c r="DC126" s="15"/>
      <c r="DD126" s="13"/>
      <c r="DE126"/>
      <c r="DF126"/>
      <c r="DG126"/>
      <c r="DH126"/>
      <c r="DI126"/>
      <c r="DJ126" s="3"/>
    </row>
    <row r="127" customFormat="1" spans="1:114">
      <c r="A127" s="1"/>
      <c r="B127" s="2"/>
      <c r="C127" s="2"/>
      <c r="D127" s="2"/>
      <c r="E127" s="2"/>
      <c r="F127" s="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4"/>
      <c r="S127" s="5"/>
      <c r="T127" s="5"/>
      <c r="U127" s="5"/>
      <c r="V127" s="5"/>
      <c r="W127" s="5"/>
      <c r="X127" s="5"/>
      <c r="Y127" s="6"/>
      <c r="Z127" s="6"/>
      <c r="AA127" s="3"/>
      <c r="AB127" s="7"/>
      <c r="AC127" s="3"/>
      <c r="AD127" s="3"/>
      <c r="AE127" s="3"/>
      <c r="AF127" s="3"/>
      <c r="AG127" s="3"/>
      <c r="AH127" s="3"/>
      <c r="AI127" s="3"/>
      <c r="AJ127" s="3"/>
      <c r="AK127" s="8"/>
      <c r="AL127" s="9"/>
      <c r="AM127" s="9"/>
      <c r="AN127" s="9"/>
      <c r="AO127" s="9"/>
      <c r="AP127" s="9"/>
      <c r="AQ127" s="9"/>
      <c r="AR127" s="9"/>
      <c r="AS127" s="9"/>
      <c r="AT127" s="10"/>
      <c r="AU127" s="11"/>
      <c r="AV127" s="11"/>
      <c r="AW127" s="11"/>
      <c r="AX127" s="11"/>
      <c r="AY127" s="11"/>
      <c r="AZ127" s="11"/>
      <c r="BA127" s="11"/>
      <c r="BB127" s="12"/>
      <c r="BC127" s="3"/>
      <c r="BD127" s="3"/>
      <c r="BE127" s="3"/>
      <c r="BF127" s="3"/>
      <c r="BG127" s="3"/>
      <c r="BH127" s="3"/>
      <c r="BI127" s="3"/>
      <c r="BJ127" s="3"/>
      <c r="BK127" s="3"/>
      <c r="BL127" s="7"/>
      <c r="BM127" s="3"/>
      <c r="BN127" s="3"/>
      <c r="BO127" s="3"/>
      <c r="BP127" s="3"/>
      <c r="BQ127" s="3"/>
      <c r="BR127" s="3"/>
      <c r="BS127" s="3"/>
      <c r="BT127" s="13"/>
      <c r="BU127" s="7"/>
      <c r="BV127" s="3"/>
      <c r="BW127" s="3"/>
      <c r="BX127" s="3"/>
      <c r="BY127" s="3"/>
      <c r="BZ127" s="3"/>
      <c r="CA127" s="3"/>
      <c r="CB127" s="3"/>
      <c r="CC127" s="3"/>
      <c r="CD127" s="7"/>
      <c r="CE127" s="3"/>
      <c r="CF127" s="3"/>
      <c r="CG127" s="3"/>
      <c r="CH127" s="3"/>
      <c r="CI127" s="3"/>
      <c r="CJ127" s="3"/>
      <c r="CK127" s="3"/>
      <c r="CL127" s="3"/>
      <c r="CM127" s="3"/>
      <c r="CN127" s="7"/>
      <c r="CO127" s="3"/>
      <c r="CP127" s="3"/>
      <c r="CQ127" s="3"/>
      <c r="CR127" s="3"/>
      <c r="CS127" s="3"/>
      <c r="CT127" s="3"/>
      <c r="CU127" s="3"/>
      <c r="CV127" s="3"/>
      <c r="CW127" s="7"/>
      <c r="CX127" s="3"/>
      <c r="CY127" s="3"/>
      <c r="CZ127" s="13"/>
      <c r="DA127" s="14"/>
      <c r="DB127" s="15"/>
      <c r="DC127" s="15"/>
      <c r="DD127" s="13"/>
      <c r="DE127"/>
      <c r="DF127"/>
      <c r="DG127"/>
      <c r="DH127"/>
      <c r="DI127"/>
      <c r="DJ127" s="3"/>
    </row>
    <row r="128" customFormat="1" spans="1:114">
      <c r="A128" s="1"/>
      <c r="B128" s="2"/>
      <c r="C128" s="2"/>
      <c r="D128" s="2"/>
      <c r="E128" s="2"/>
      <c r="F128" s="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4"/>
      <c r="S128" s="5"/>
      <c r="T128" s="5"/>
      <c r="U128" s="5"/>
      <c r="V128" s="5"/>
      <c r="W128" s="5"/>
      <c r="X128" s="5"/>
      <c r="Y128" s="6"/>
      <c r="Z128" s="6"/>
      <c r="AA128" s="3"/>
      <c r="AB128" s="7"/>
      <c r="AC128" s="3"/>
      <c r="AD128" s="3"/>
      <c r="AE128" s="3"/>
      <c r="AF128" s="3"/>
      <c r="AG128" s="3"/>
      <c r="AH128" s="3"/>
      <c r="AI128" s="3"/>
      <c r="AJ128" s="3"/>
      <c r="AK128" s="8"/>
      <c r="AL128" s="9"/>
      <c r="AM128" s="9"/>
      <c r="AN128" s="9"/>
      <c r="AO128" s="9"/>
      <c r="AP128" s="9"/>
      <c r="AQ128" s="9"/>
      <c r="AR128" s="9"/>
      <c r="AS128" s="9"/>
      <c r="AT128" s="10"/>
      <c r="AU128" s="11"/>
      <c r="AV128" s="11"/>
      <c r="AW128" s="11"/>
      <c r="AX128" s="11"/>
      <c r="AY128" s="11"/>
      <c r="AZ128" s="11"/>
      <c r="BA128" s="11"/>
      <c r="BB128" s="12"/>
      <c r="BC128" s="3"/>
      <c r="BD128" s="3"/>
      <c r="BE128" s="3"/>
      <c r="BF128" s="3"/>
      <c r="BG128" s="3"/>
      <c r="BH128" s="3"/>
      <c r="BI128" s="3"/>
      <c r="BJ128" s="3"/>
      <c r="BK128" s="3"/>
      <c r="BL128" s="7"/>
      <c r="BM128" s="3"/>
      <c r="BN128" s="3"/>
      <c r="BO128" s="3"/>
      <c r="BP128" s="3"/>
      <c r="BQ128" s="3"/>
      <c r="BR128" s="3"/>
      <c r="BS128" s="3"/>
      <c r="BT128" s="13"/>
      <c r="BU128" s="7"/>
      <c r="BV128" s="3"/>
      <c r="BW128" s="3"/>
      <c r="BX128" s="3"/>
      <c r="BY128" s="3"/>
      <c r="BZ128" s="3"/>
      <c r="CA128" s="3"/>
      <c r="CB128" s="3"/>
      <c r="CC128" s="3"/>
      <c r="CD128" s="7"/>
      <c r="CE128" s="3"/>
      <c r="CF128" s="3"/>
      <c r="CG128" s="3"/>
      <c r="CH128" s="3"/>
      <c r="CI128" s="3"/>
      <c r="CJ128" s="3"/>
      <c r="CK128" s="3"/>
      <c r="CL128" s="3"/>
      <c r="CM128" s="3"/>
      <c r="CN128" s="7"/>
      <c r="CO128" s="3"/>
      <c r="CP128" s="3"/>
      <c r="CQ128" s="3"/>
      <c r="CR128" s="3"/>
      <c r="CS128" s="3"/>
      <c r="CT128" s="3"/>
      <c r="CU128" s="3"/>
      <c r="CV128" s="3"/>
      <c r="CW128" s="7"/>
      <c r="CX128" s="3"/>
      <c r="CY128" s="3"/>
      <c r="CZ128" s="13"/>
      <c r="DA128" s="14"/>
      <c r="DB128" s="15"/>
      <c r="DC128" s="15"/>
      <c r="DD128" s="13"/>
      <c r="DE128"/>
      <c r="DF128"/>
      <c r="DG128"/>
      <c r="DH128"/>
      <c r="DI128"/>
      <c r="DJ128" s="3"/>
    </row>
    <row r="129" customFormat="1" spans="1:114">
      <c r="A129" s="1"/>
      <c r="B129" s="2"/>
      <c r="C129" s="2"/>
      <c r="D129" s="2"/>
      <c r="E129" s="2"/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4"/>
      <c r="S129" s="5"/>
      <c r="T129" s="5"/>
      <c r="U129" s="5"/>
      <c r="V129" s="5"/>
      <c r="W129" s="5"/>
      <c r="X129" s="5"/>
      <c r="Y129" s="6"/>
      <c r="Z129" s="6"/>
      <c r="AA129" s="3"/>
      <c r="AB129" s="7"/>
      <c r="AC129" s="3"/>
      <c r="AD129" s="3"/>
      <c r="AE129" s="3"/>
      <c r="AF129" s="3"/>
      <c r="AG129" s="3"/>
      <c r="AH129" s="3"/>
      <c r="AI129" s="3"/>
      <c r="AJ129" s="3"/>
      <c r="AK129" s="8"/>
      <c r="AL129" s="9"/>
      <c r="AM129" s="9"/>
      <c r="AN129" s="9"/>
      <c r="AO129" s="9"/>
      <c r="AP129" s="9"/>
      <c r="AQ129" s="9"/>
      <c r="AR129" s="9"/>
      <c r="AS129" s="9"/>
      <c r="AT129" s="10"/>
      <c r="AU129" s="11"/>
      <c r="AV129" s="11"/>
      <c r="AW129" s="11"/>
      <c r="AX129" s="11"/>
      <c r="AY129" s="11"/>
      <c r="AZ129" s="11"/>
      <c r="BA129" s="11"/>
      <c r="BB129" s="12"/>
      <c r="BC129" s="3"/>
      <c r="BD129" s="3"/>
      <c r="BE129" s="3"/>
      <c r="BF129" s="3"/>
      <c r="BG129" s="3"/>
      <c r="BH129" s="3"/>
      <c r="BI129" s="3"/>
      <c r="BJ129" s="3"/>
      <c r="BK129" s="3"/>
      <c r="BL129" s="7"/>
      <c r="BM129" s="3"/>
      <c r="BN129" s="3"/>
      <c r="BO129" s="3"/>
      <c r="BP129" s="3"/>
      <c r="BQ129" s="3"/>
      <c r="BR129" s="3"/>
      <c r="BS129" s="3"/>
      <c r="BT129" s="13"/>
      <c r="BU129" s="7"/>
      <c r="BV129" s="3"/>
      <c r="BW129" s="3"/>
      <c r="BX129" s="3"/>
      <c r="BY129" s="3"/>
      <c r="BZ129" s="3"/>
      <c r="CA129" s="3"/>
      <c r="CB129" s="3"/>
      <c r="CC129" s="3"/>
      <c r="CD129" s="7"/>
      <c r="CE129" s="3"/>
      <c r="CF129" s="3"/>
      <c r="CG129" s="3"/>
      <c r="CH129" s="3"/>
      <c r="CI129" s="3"/>
      <c r="CJ129" s="3"/>
      <c r="CK129" s="3"/>
      <c r="CL129" s="3"/>
      <c r="CM129" s="3"/>
      <c r="CN129" s="7"/>
      <c r="CO129" s="3"/>
      <c r="CP129" s="3"/>
      <c r="CQ129" s="3"/>
      <c r="CR129" s="3"/>
      <c r="CS129" s="3"/>
      <c r="CT129" s="3"/>
      <c r="CU129" s="3"/>
      <c r="CV129" s="3"/>
      <c r="CW129" s="7"/>
      <c r="CX129" s="3"/>
      <c r="CY129" s="3"/>
      <c r="CZ129" s="13"/>
      <c r="DA129" s="14"/>
      <c r="DB129" s="15"/>
      <c r="DC129" s="15"/>
      <c r="DD129" s="13"/>
      <c r="DE129"/>
      <c r="DF129"/>
      <c r="DG129"/>
      <c r="DH129"/>
      <c r="DI129"/>
      <c r="DJ129" s="3"/>
    </row>
    <row r="130" customFormat="1" spans="1:114">
      <c r="A130" s="1"/>
      <c r="B130" s="2"/>
      <c r="C130" s="2"/>
      <c r="D130" s="2"/>
      <c r="E130" s="2"/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4"/>
      <c r="S130" s="5"/>
      <c r="T130" s="5"/>
      <c r="U130" s="5"/>
      <c r="V130" s="5"/>
      <c r="W130" s="5"/>
      <c r="X130" s="5"/>
      <c r="Y130" s="6"/>
      <c r="Z130" s="6"/>
      <c r="AA130" s="3"/>
      <c r="AB130" s="7"/>
      <c r="AC130" s="3"/>
      <c r="AD130" s="3"/>
      <c r="AE130" s="3"/>
      <c r="AF130" s="3"/>
      <c r="AG130" s="3"/>
      <c r="AH130" s="3"/>
      <c r="AI130" s="3"/>
      <c r="AJ130" s="3"/>
      <c r="AK130" s="8"/>
      <c r="AL130" s="9"/>
      <c r="AM130" s="9"/>
      <c r="AN130" s="9"/>
      <c r="AO130" s="9"/>
      <c r="AP130" s="9"/>
      <c r="AQ130" s="9"/>
      <c r="AR130" s="9"/>
      <c r="AS130" s="9"/>
      <c r="AT130" s="10"/>
      <c r="AU130" s="11"/>
      <c r="AV130" s="11"/>
      <c r="AW130" s="11"/>
      <c r="AX130" s="11"/>
      <c r="AY130" s="11"/>
      <c r="AZ130" s="11"/>
      <c r="BA130" s="11"/>
      <c r="BB130" s="12"/>
      <c r="BC130" s="3"/>
      <c r="BD130" s="3"/>
      <c r="BE130" s="3"/>
      <c r="BF130" s="3"/>
      <c r="BG130" s="3"/>
      <c r="BH130" s="3"/>
      <c r="BI130" s="3"/>
      <c r="BJ130" s="3"/>
      <c r="BK130" s="3"/>
      <c r="BL130" s="7"/>
      <c r="BM130" s="3"/>
      <c r="BN130" s="3"/>
      <c r="BO130" s="3"/>
      <c r="BP130" s="3"/>
      <c r="BQ130" s="3"/>
      <c r="BR130" s="3"/>
      <c r="BS130" s="3"/>
      <c r="BT130" s="13"/>
      <c r="BU130" s="7"/>
      <c r="BV130" s="3"/>
      <c r="BW130" s="3"/>
      <c r="BX130" s="3"/>
      <c r="BY130" s="3"/>
      <c r="BZ130" s="3"/>
      <c r="CA130" s="3"/>
      <c r="CB130" s="3"/>
      <c r="CC130" s="3"/>
      <c r="CD130" s="7"/>
      <c r="CE130" s="3"/>
      <c r="CF130" s="3"/>
      <c r="CG130" s="3"/>
      <c r="CH130" s="3"/>
      <c r="CI130" s="3"/>
      <c r="CJ130" s="3"/>
      <c r="CK130" s="3"/>
      <c r="CL130" s="3"/>
      <c r="CM130" s="3"/>
      <c r="CN130" s="7"/>
      <c r="CO130" s="3"/>
      <c r="CP130" s="3"/>
      <c r="CQ130" s="3"/>
      <c r="CR130" s="3"/>
      <c r="CS130" s="3"/>
      <c r="CT130" s="3"/>
      <c r="CU130" s="3"/>
      <c r="CV130" s="3"/>
      <c r="CW130" s="7"/>
      <c r="CX130" s="3"/>
      <c r="CY130" s="3"/>
      <c r="CZ130" s="13"/>
      <c r="DA130" s="14"/>
      <c r="DB130" s="15"/>
      <c r="DC130" s="15"/>
      <c r="DD130" s="13"/>
      <c r="DE130"/>
      <c r="DF130"/>
      <c r="DG130"/>
      <c r="DH130"/>
      <c r="DI130"/>
      <c r="DJ130" s="3"/>
    </row>
    <row r="131" customFormat="1" spans="1:114">
      <c r="A131" s="1"/>
      <c r="B131" s="2"/>
      <c r="C131" s="2"/>
      <c r="D131" s="2"/>
      <c r="E131" s="2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4"/>
      <c r="S131" s="5"/>
      <c r="T131" s="5"/>
      <c r="U131" s="5"/>
      <c r="V131" s="5"/>
      <c r="W131" s="5"/>
      <c r="X131" s="5"/>
      <c r="Y131" s="6"/>
      <c r="Z131" s="6"/>
      <c r="AA131" s="3"/>
      <c r="AB131" s="7"/>
      <c r="AC131" s="3"/>
      <c r="AD131" s="3"/>
      <c r="AE131" s="3"/>
      <c r="AF131" s="3"/>
      <c r="AG131" s="3"/>
      <c r="AH131" s="3"/>
      <c r="AI131" s="3"/>
      <c r="AJ131" s="3"/>
      <c r="AK131" s="8"/>
      <c r="AL131" s="9"/>
      <c r="AM131" s="9"/>
      <c r="AN131" s="9"/>
      <c r="AO131" s="9"/>
      <c r="AP131" s="9"/>
      <c r="AQ131" s="9"/>
      <c r="AR131" s="9"/>
      <c r="AS131" s="9"/>
      <c r="AT131" s="10"/>
      <c r="AU131" s="11"/>
      <c r="AV131" s="11"/>
      <c r="AW131" s="11"/>
      <c r="AX131" s="11"/>
      <c r="AY131" s="11"/>
      <c r="AZ131" s="11"/>
      <c r="BA131" s="11"/>
      <c r="BB131" s="12"/>
      <c r="BC131" s="3"/>
      <c r="BD131" s="3"/>
      <c r="BE131" s="3"/>
      <c r="BF131" s="3"/>
      <c r="BG131" s="3"/>
      <c r="BH131" s="3"/>
      <c r="BI131" s="3"/>
      <c r="BJ131" s="3"/>
      <c r="BK131" s="3"/>
      <c r="BL131" s="7"/>
      <c r="BM131" s="3"/>
      <c r="BN131" s="3"/>
      <c r="BO131" s="3"/>
      <c r="BP131" s="3"/>
      <c r="BQ131" s="3"/>
      <c r="BR131" s="3"/>
      <c r="BS131" s="3"/>
      <c r="BT131" s="13"/>
      <c r="BU131" s="7"/>
      <c r="BV131" s="3"/>
      <c r="BW131" s="3"/>
      <c r="BX131" s="3"/>
      <c r="BY131" s="3"/>
      <c r="BZ131" s="3"/>
      <c r="CA131" s="3"/>
      <c r="CB131" s="3"/>
      <c r="CC131" s="3"/>
      <c r="CD131" s="7"/>
      <c r="CE131" s="3"/>
      <c r="CF131" s="3"/>
      <c r="CG131" s="3"/>
      <c r="CH131" s="3"/>
      <c r="CI131" s="3"/>
      <c r="CJ131" s="3"/>
      <c r="CK131" s="3"/>
      <c r="CL131" s="3"/>
      <c r="CM131" s="3"/>
      <c r="CN131" s="7"/>
      <c r="CO131" s="3"/>
      <c r="CP131" s="3"/>
      <c r="CQ131" s="3"/>
      <c r="CR131" s="3"/>
      <c r="CS131" s="3"/>
      <c r="CT131" s="3"/>
      <c r="CU131" s="3"/>
      <c r="CV131" s="3"/>
      <c r="CW131" s="7"/>
      <c r="CX131" s="3"/>
      <c r="CY131" s="3"/>
      <c r="CZ131" s="13"/>
      <c r="DA131" s="14"/>
      <c r="DB131" s="15"/>
      <c r="DC131" s="15"/>
      <c r="DD131" s="13"/>
      <c r="DE131"/>
      <c r="DF131"/>
      <c r="DG131"/>
      <c r="DH131"/>
      <c r="DI131"/>
      <c r="DJ131" s="3"/>
    </row>
    <row r="132" customFormat="1" spans="1:114">
      <c r="A132" s="1"/>
      <c r="B132" s="2"/>
      <c r="C132" s="2"/>
      <c r="D132" s="2"/>
      <c r="E132" s="2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4"/>
      <c r="S132" s="5"/>
      <c r="T132" s="5"/>
      <c r="U132" s="5"/>
      <c r="V132" s="5"/>
      <c r="W132" s="5"/>
      <c r="X132" s="5"/>
      <c r="Y132" s="6"/>
      <c r="Z132" s="6"/>
      <c r="AA132" s="3"/>
      <c r="AB132" s="7"/>
      <c r="AC132" s="3"/>
      <c r="AD132" s="3"/>
      <c r="AE132" s="3"/>
      <c r="AF132" s="3"/>
      <c r="AG132" s="3"/>
      <c r="AH132" s="3"/>
      <c r="AI132" s="3"/>
      <c r="AJ132" s="3"/>
      <c r="AK132" s="8"/>
      <c r="AL132" s="9"/>
      <c r="AM132" s="9"/>
      <c r="AN132" s="9"/>
      <c r="AO132" s="9"/>
      <c r="AP132" s="9"/>
      <c r="AQ132" s="9"/>
      <c r="AR132" s="9"/>
      <c r="AS132" s="9"/>
      <c r="AT132" s="10"/>
      <c r="AU132" s="11"/>
      <c r="AV132" s="11"/>
      <c r="AW132" s="11"/>
      <c r="AX132" s="11"/>
      <c r="AY132" s="11"/>
      <c r="AZ132" s="11"/>
      <c r="BA132" s="11"/>
      <c r="BB132" s="12"/>
      <c r="BC132" s="3"/>
      <c r="BD132" s="3"/>
      <c r="BE132" s="3"/>
      <c r="BF132" s="3"/>
      <c r="BG132" s="3"/>
      <c r="BH132" s="3"/>
      <c r="BI132" s="3"/>
      <c r="BJ132" s="3"/>
      <c r="BK132" s="3"/>
      <c r="BL132" s="7"/>
      <c r="BM132" s="3"/>
      <c r="BN132" s="3"/>
      <c r="BO132" s="3"/>
      <c r="BP132" s="3"/>
      <c r="BQ132" s="3"/>
      <c r="BR132" s="3"/>
      <c r="BS132" s="3"/>
      <c r="BT132" s="13"/>
      <c r="BU132" s="7"/>
      <c r="BV132" s="3"/>
      <c r="BW132" s="3"/>
      <c r="BX132" s="3"/>
      <c r="BY132" s="3"/>
      <c r="BZ132" s="3"/>
      <c r="CA132" s="3"/>
      <c r="CB132" s="3"/>
      <c r="CC132" s="3"/>
      <c r="CD132" s="7"/>
      <c r="CE132" s="3"/>
      <c r="CF132" s="3"/>
      <c r="CG132" s="3"/>
      <c r="CH132" s="3"/>
      <c r="CI132" s="3"/>
      <c r="CJ132" s="3"/>
      <c r="CK132" s="3"/>
      <c r="CL132" s="3"/>
      <c r="CM132" s="3"/>
      <c r="CN132" s="7"/>
      <c r="CO132" s="3"/>
      <c r="CP132" s="3"/>
      <c r="CQ132" s="3"/>
      <c r="CR132" s="3"/>
      <c r="CS132" s="3"/>
      <c r="CT132" s="3"/>
      <c r="CU132" s="3"/>
      <c r="CV132" s="3"/>
      <c r="CW132" s="7"/>
      <c r="CX132" s="3"/>
      <c r="CY132" s="3"/>
      <c r="CZ132" s="13"/>
      <c r="DA132" s="14"/>
      <c r="DB132" s="15"/>
      <c r="DC132" s="15"/>
      <c r="DD132" s="13"/>
      <c r="DE132"/>
      <c r="DF132"/>
      <c r="DG132"/>
      <c r="DH132"/>
      <c r="DI132"/>
      <c r="DJ132" s="3"/>
    </row>
    <row r="133" customFormat="1" spans="1:114">
      <c r="A133" s="1"/>
      <c r="B133" s="2"/>
      <c r="C133" s="2"/>
      <c r="D133" s="2"/>
      <c r="E133" s="2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4"/>
      <c r="S133" s="5"/>
      <c r="T133" s="5"/>
      <c r="U133" s="5"/>
      <c r="V133" s="5"/>
      <c r="W133" s="5"/>
      <c r="X133" s="5"/>
      <c r="Y133" s="6"/>
      <c r="Z133" s="6"/>
      <c r="AA133" s="3"/>
      <c r="AB133" s="7"/>
      <c r="AC133" s="3"/>
      <c r="AD133" s="3"/>
      <c r="AE133" s="3"/>
      <c r="AF133" s="3"/>
      <c r="AG133" s="3"/>
      <c r="AH133" s="3"/>
      <c r="AI133" s="3"/>
      <c r="AJ133" s="3"/>
      <c r="AK133" s="8"/>
      <c r="AL133" s="9"/>
      <c r="AM133" s="9"/>
      <c r="AN133" s="9"/>
      <c r="AO133" s="9"/>
      <c r="AP133" s="9"/>
      <c r="AQ133" s="9"/>
      <c r="AR133" s="9"/>
      <c r="AS133" s="9"/>
      <c r="AT133" s="10"/>
      <c r="AU133" s="11"/>
      <c r="AV133" s="11"/>
      <c r="AW133" s="11"/>
      <c r="AX133" s="11"/>
      <c r="AY133" s="11"/>
      <c r="AZ133" s="11"/>
      <c r="BA133" s="11"/>
      <c r="BB133" s="12"/>
      <c r="BC133" s="3"/>
      <c r="BD133" s="3"/>
      <c r="BE133" s="3"/>
      <c r="BF133" s="3"/>
      <c r="BG133" s="3"/>
      <c r="BH133" s="3"/>
      <c r="BI133" s="3"/>
      <c r="BJ133" s="3"/>
      <c r="BK133" s="3"/>
      <c r="BL133" s="7"/>
      <c r="BM133" s="3"/>
      <c r="BN133" s="3"/>
      <c r="BO133" s="3"/>
      <c r="BP133" s="3"/>
      <c r="BQ133" s="3"/>
      <c r="BR133" s="3"/>
      <c r="BS133" s="3"/>
      <c r="BT133" s="13"/>
      <c r="BU133" s="7"/>
      <c r="BV133" s="3"/>
      <c r="BW133" s="3"/>
      <c r="BX133" s="3"/>
      <c r="BY133" s="3"/>
      <c r="BZ133" s="3"/>
      <c r="CA133" s="3"/>
      <c r="CB133" s="3"/>
      <c r="CC133" s="3"/>
      <c r="CD133" s="7"/>
      <c r="CE133" s="3"/>
      <c r="CF133" s="3"/>
      <c r="CG133" s="3"/>
      <c r="CH133" s="3"/>
      <c r="CI133" s="3"/>
      <c r="CJ133" s="3"/>
      <c r="CK133" s="3"/>
      <c r="CL133" s="3"/>
      <c r="CM133" s="3"/>
      <c r="CN133" s="7"/>
      <c r="CO133" s="3"/>
      <c r="CP133" s="3"/>
      <c r="CQ133" s="3"/>
      <c r="CR133" s="3"/>
      <c r="CS133" s="3"/>
      <c r="CT133" s="3"/>
      <c r="CU133" s="3"/>
      <c r="CV133" s="3"/>
      <c r="CW133" s="7"/>
      <c r="CX133" s="3"/>
      <c r="CY133" s="3"/>
      <c r="CZ133" s="13"/>
      <c r="DA133" s="14"/>
      <c r="DB133" s="15"/>
      <c r="DC133" s="15"/>
      <c r="DD133" s="13"/>
      <c r="DE133"/>
      <c r="DF133"/>
      <c r="DG133"/>
      <c r="DH133"/>
      <c r="DI133"/>
      <c r="DJ133" s="3"/>
    </row>
    <row r="134" customFormat="1" spans="1:114">
      <c r="A134" s="1"/>
      <c r="B134" s="2"/>
      <c r="C134" s="2"/>
      <c r="D134" s="2"/>
      <c r="E134" s="2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4"/>
      <c r="S134" s="5"/>
      <c r="T134" s="5"/>
      <c r="U134" s="5"/>
      <c r="V134" s="5"/>
      <c r="W134" s="5"/>
      <c r="X134" s="5"/>
      <c r="Y134" s="6"/>
      <c r="Z134" s="6"/>
      <c r="AA134" s="3"/>
      <c r="AB134" s="7"/>
      <c r="AC134" s="3"/>
      <c r="AD134" s="3"/>
      <c r="AE134" s="3"/>
      <c r="AF134" s="3"/>
      <c r="AG134" s="3"/>
      <c r="AH134" s="3"/>
      <c r="AI134" s="3"/>
      <c r="AJ134" s="3"/>
      <c r="AK134" s="8"/>
      <c r="AL134" s="9"/>
      <c r="AM134" s="9"/>
      <c r="AN134" s="9"/>
      <c r="AO134" s="9"/>
      <c r="AP134" s="9"/>
      <c r="AQ134" s="9"/>
      <c r="AR134" s="9"/>
      <c r="AS134" s="9"/>
      <c r="AT134" s="10"/>
      <c r="AU134" s="11"/>
      <c r="AV134" s="11"/>
      <c r="AW134" s="11"/>
      <c r="AX134" s="11"/>
      <c r="AY134" s="11"/>
      <c r="AZ134" s="11"/>
      <c r="BA134" s="11"/>
      <c r="BB134" s="12"/>
      <c r="BC134" s="3"/>
      <c r="BD134" s="3"/>
      <c r="BE134" s="3"/>
      <c r="BF134" s="3"/>
      <c r="BG134" s="3"/>
      <c r="BH134" s="3"/>
      <c r="BI134" s="3"/>
      <c r="BJ134" s="3"/>
      <c r="BK134" s="3"/>
      <c r="BL134" s="7"/>
      <c r="BM134" s="3"/>
      <c r="BN134" s="3"/>
      <c r="BO134" s="3"/>
      <c r="BP134" s="3"/>
      <c r="BQ134" s="3"/>
      <c r="BR134" s="3"/>
      <c r="BS134" s="3"/>
      <c r="BT134" s="13"/>
      <c r="BU134" s="7"/>
      <c r="BV134" s="3"/>
      <c r="BW134" s="3"/>
      <c r="BX134" s="3"/>
      <c r="BY134" s="3"/>
      <c r="BZ134" s="3"/>
      <c r="CA134" s="3"/>
      <c r="CB134" s="3"/>
      <c r="CC134" s="3"/>
      <c r="CD134" s="7"/>
      <c r="CE134" s="3"/>
      <c r="CF134" s="3"/>
      <c r="CG134" s="3"/>
      <c r="CH134" s="3"/>
      <c r="CI134" s="3"/>
      <c r="CJ134" s="3"/>
      <c r="CK134" s="3"/>
      <c r="CL134" s="3"/>
      <c r="CM134" s="3"/>
      <c r="CN134" s="7"/>
      <c r="CO134" s="3"/>
      <c r="CP134" s="3"/>
      <c r="CQ134" s="3"/>
      <c r="CR134" s="3"/>
      <c r="CS134" s="3"/>
      <c r="CT134" s="3"/>
      <c r="CU134" s="3"/>
      <c r="CV134" s="3"/>
      <c r="CW134" s="7"/>
      <c r="CX134" s="3"/>
      <c r="CY134" s="3"/>
      <c r="CZ134" s="13"/>
      <c r="DA134" s="14"/>
      <c r="DB134" s="15"/>
      <c r="DC134" s="15"/>
      <c r="DD134" s="13"/>
      <c r="DE134"/>
      <c r="DF134"/>
      <c r="DG134"/>
      <c r="DH134"/>
      <c r="DI134"/>
      <c r="DJ134" s="3"/>
    </row>
    <row r="135" customFormat="1" spans="1:114">
      <c r="A135" s="1"/>
      <c r="B135" s="2"/>
      <c r="C135" s="2"/>
      <c r="D135" s="2"/>
      <c r="E135" s="2"/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4"/>
      <c r="S135" s="5"/>
      <c r="T135" s="5"/>
      <c r="U135" s="5"/>
      <c r="V135" s="5"/>
      <c r="W135" s="5"/>
      <c r="X135" s="5"/>
      <c r="Y135" s="6"/>
      <c r="Z135" s="6"/>
      <c r="AA135" s="3"/>
      <c r="AB135" s="7"/>
      <c r="AC135" s="3"/>
      <c r="AD135" s="3"/>
      <c r="AE135" s="3"/>
      <c r="AF135" s="3"/>
      <c r="AG135" s="3"/>
      <c r="AH135" s="3"/>
      <c r="AI135" s="3"/>
      <c r="AJ135" s="3"/>
      <c r="AK135" s="8"/>
      <c r="AL135" s="9"/>
      <c r="AM135" s="9"/>
      <c r="AN135" s="9"/>
      <c r="AO135" s="9"/>
      <c r="AP135" s="9"/>
      <c r="AQ135" s="9"/>
      <c r="AR135" s="9"/>
      <c r="AS135" s="9"/>
      <c r="AT135" s="10"/>
      <c r="AU135" s="11"/>
      <c r="AV135" s="11"/>
      <c r="AW135" s="11"/>
      <c r="AX135" s="11"/>
      <c r="AY135" s="11"/>
      <c r="AZ135" s="11"/>
      <c r="BA135" s="11"/>
      <c r="BB135" s="12"/>
      <c r="BC135" s="3"/>
      <c r="BD135" s="3"/>
      <c r="BE135" s="3"/>
      <c r="BF135" s="3"/>
      <c r="BG135" s="3"/>
      <c r="BH135" s="3"/>
      <c r="BI135" s="3"/>
      <c r="BJ135" s="3"/>
      <c r="BK135" s="3"/>
      <c r="BL135" s="7"/>
      <c r="BM135" s="3"/>
      <c r="BN135" s="3"/>
      <c r="BO135" s="3"/>
      <c r="BP135" s="3"/>
      <c r="BQ135" s="3"/>
      <c r="BR135" s="3"/>
      <c r="BS135" s="3"/>
      <c r="BT135" s="13"/>
      <c r="BU135" s="7"/>
      <c r="BV135" s="3"/>
      <c r="BW135" s="3"/>
      <c r="BX135" s="3"/>
      <c r="BY135" s="3"/>
      <c r="BZ135" s="3"/>
      <c r="CA135" s="3"/>
      <c r="CB135" s="3"/>
      <c r="CC135" s="3"/>
      <c r="CD135" s="7"/>
      <c r="CE135" s="3"/>
      <c r="CF135" s="3"/>
      <c r="CG135" s="3"/>
      <c r="CH135" s="3"/>
      <c r="CI135" s="3"/>
      <c r="CJ135" s="3"/>
      <c r="CK135" s="3"/>
      <c r="CL135" s="3"/>
      <c r="CM135" s="3"/>
      <c r="CN135" s="7"/>
      <c r="CO135" s="3"/>
      <c r="CP135" s="3"/>
      <c r="CQ135" s="3"/>
      <c r="CR135" s="3"/>
      <c r="CS135" s="3"/>
      <c r="CT135" s="3"/>
      <c r="CU135" s="3"/>
      <c r="CV135" s="3"/>
      <c r="CW135" s="7"/>
      <c r="CX135" s="3"/>
      <c r="CY135" s="3"/>
      <c r="CZ135" s="13"/>
      <c r="DA135" s="14"/>
      <c r="DB135" s="15"/>
      <c r="DC135" s="15"/>
      <c r="DD135" s="13"/>
      <c r="DE135"/>
      <c r="DF135"/>
      <c r="DG135"/>
      <c r="DH135"/>
      <c r="DI135"/>
      <c r="DJ135" s="3"/>
    </row>
    <row r="136" customFormat="1" spans="1:114">
      <c r="A136" s="1"/>
      <c r="B136" s="2"/>
      <c r="C136" s="2"/>
      <c r="D136" s="2"/>
      <c r="E136" s="2"/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4"/>
      <c r="S136" s="5"/>
      <c r="T136" s="5"/>
      <c r="U136" s="5"/>
      <c r="V136" s="5"/>
      <c r="W136" s="5"/>
      <c r="X136" s="5"/>
      <c r="Y136" s="6"/>
      <c r="Z136" s="6"/>
      <c r="AA136" s="3"/>
      <c r="AB136" s="7"/>
      <c r="AC136" s="3"/>
      <c r="AD136" s="3"/>
      <c r="AE136" s="3"/>
      <c r="AF136" s="3"/>
      <c r="AG136" s="3"/>
      <c r="AH136" s="3"/>
      <c r="AI136" s="3"/>
      <c r="AJ136" s="3"/>
      <c r="AK136" s="8"/>
      <c r="AL136" s="9"/>
      <c r="AM136" s="9"/>
      <c r="AN136" s="9"/>
      <c r="AO136" s="9"/>
      <c r="AP136" s="9"/>
      <c r="AQ136" s="9"/>
      <c r="AR136" s="9"/>
      <c r="AS136" s="9"/>
      <c r="AT136" s="10"/>
      <c r="AU136" s="11"/>
      <c r="AV136" s="11"/>
      <c r="AW136" s="11"/>
      <c r="AX136" s="11"/>
      <c r="AY136" s="11"/>
      <c r="AZ136" s="11"/>
      <c r="BA136" s="11"/>
      <c r="BB136" s="12"/>
      <c r="BC136" s="3"/>
      <c r="BD136" s="3"/>
      <c r="BE136" s="3"/>
      <c r="BF136" s="3"/>
      <c r="BG136" s="3"/>
      <c r="BH136" s="3"/>
      <c r="BI136" s="3"/>
      <c r="BJ136" s="3"/>
      <c r="BK136" s="3"/>
      <c r="BL136" s="7"/>
      <c r="BM136" s="3"/>
      <c r="BN136" s="3"/>
      <c r="BO136" s="3"/>
      <c r="BP136" s="3"/>
      <c r="BQ136" s="3"/>
      <c r="BR136" s="3"/>
      <c r="BS136" s="3"/>
      <c r="BT136" s="13"/>
      <c r="BU136" s="7"/>
      <c r="BV136" s="3"/>
      <c r="BW136" s="3"/>
      <c r="BX136" s="3"/>
      <c r="BY136" s="3"/>
      <c r="BZ136" s="3"/>
      <c r="CA136" s="3"/>
      <c r="CB136" s="3"/>
      <c r="CC136" s="3"/>
      <c r="CD136" s="7"/>
      <c r="CE136" s="3"/>
      <c r="CF136" s="3"/>
      <c r="CG136" s="3"/>
      <c r="CH136" s="3"/>
      <c r="CI136" s="3"/>
      <c r="CJ136" s="3"/>
      <c r="CK136" s="3"/>
      <c r="CL136" s="3"/>
      <c r="CM136" s="3"/>
      <c r="CN136" s="7"/>
      <c r="CO136" s="3"/>
      <c r="CP136" s="3"/>
      <c r="CQ136" s="3"/>
      <c r="CR136" s="3"/>
      <c r="CS136" s="3"/>
      <c r="CT136" s="3"/>
      <c r="CU136" s="3"/>
      <c r="CV136" s="3"/>
      <c r="CW136" s="7"/>
      <c r="CX136" s="3"/>
      <c r="CY136" s="3"/>
      <c r="CZ136" s="13"/>
      <c r="DA136" s="14"/>
      <c r="DB136" s="15"/>
      <c r="DC136" s="15"/>
      <c r="DD136" s="13"/>
      <c r="DE136"/>
      <c r="DF136"/>
      <c r="DG136"/>
      <c r="DH136"/>
      <c r="DI136"/>
      <c r="DJ136" s="3"/>
    </row>
    <row r="137" customFormat="1" spans="1:114">
      <c r="A137" s="1"/>
      <c r="B137" s="2"/>
      <c r="C137" s="2"/>
      <c r="D137" s="2"/>
      <c r="E137" s="2"/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4"/>
      <c r="S137" s="5"/>
      <c r="T137" s="5"/>
      <c r="U137" s="5"/>
      <c r="V137" s="5"/>
      <c r="W137" s="5"/>
      <c r="X137" s="5"/>
      <c r="Y137" s="6"/>
      <c r="Z137" s="6"/>
      <c r="AA137" s="3"/>
      <c r="AB137" s="7"/>
      <c r="AC137" s="3"/>
      <c r="AD137" s="3"/>
      <c r="AE137" s="3"/>
      <c r="AF137" s="3"/>
      <c r="AG137" s="3"/>
      <c r="AH137" s="3"/>
      <c r="AI137" s="3"/>
      <c r="AJ137" s="3"/>
      <c r="AK137" s="8"/>
      <c r="AL137" s="9"/>
      <c r="AM137" s="9"/>
      <c r="AN137" s="9"/>
      <c r="AO137" s="9"/>
      <c r="AP137" s="9"/>
      <c r="AQ137" s="9"/>
      <c r="AR137" s="9"/>
      <c r="AS137" s="9"/>
      <c r="AT137" s="10"/>
      <c r="AU137" s="11"/>
      <c r="AV137" s="11"/>
      <c r="AW137" s="11"/>
      <c r="AX137" s="11"/>
      <c r="AY137" s="11"/>
      <c r="AZ137" s="11"/>
      <c r="BA137" s="11"/>
      <c r="BB137" s="12"/>
      <c r="BC137" s="3"/>
      <c r="BD137" s="3"/>
      <c r="BE137" s="3"/>
      <c r="BF137" s="3"/>
      <c r="BG137" s="3"/>
      <c r="BH137" s="3"/>
      <c r="BI137" s="3"/>
      <c r="BJ137" s="3"/>
      <c r="BK137" s="3"/>
      <c r="BL137" s="7"/>
      <c r="BM137" s="3"/>
      <c r="BN137" s="3"/>
      <c r="BO137" s="3"/>
      <c r="BP137" s="3"/>
      <c r="BQ137" s="3"/>
      <c r="BR137" s="3"/>
      <c r="BS137" s="3"/>
      <c r="BT137" s="13"/>
      <c r="BU137" s="7"/>
      <c r="BV137" s="3"/>
      <c r="BW137" s="3"/>
      <c r="BX137" s="3"/>
      <c r="BY137" s="3"/>
      <c r="BZ137" s="3"/>
      <c r="CA137" s="3"/>
      <c r="CB137" s="3"/>
      <c r="CC137" s="3"/>
      <c r="CD137" s="7"/>
      <c r="CE137" s="3"/>
      <c r="CF137" s="3"/>
      <c r="CG137" s="3"/>
      <c r="CH137" s="3"/>
      <c r="CI137" s="3"/>
      <c r="CJ137" s="3"/>
      <c r="CK137" s="3"/>
      <c r="CL137" s="3"/>
      <c r="CM137" s="3"/>
      <c r="CN137" s="7"/>
      <c r="CO137" s="3"/>
      <c r="CP137" s="3"/>
      <c r="CQ137" s="3"/>
      <c r="CR137" s="3"/>
      <c r="CS137" s="3"/>
      <c r="CT137" s="3"/>
      <c r="CU137" s="3"/>
      <c r="CV137" s="3"/>
      <c r="CW137" s="7"/>
      <c r="CX137" s="3"/>
      <c r="CY137" s="3"/>
      <c r="CZ137" s="13"/>
      <c r="DA137" s="14"/>
      <c r="DB137" s="15"/>
      <c r="DC137" s="15"/>
      <c r="DD137" s="13"/>
      <c r="DE137"/>
      <c r="DF137"/>
      <c r="DG137"/>
      <c r="DH137"/>
      <c r="DI137"/>
      <c r="DJ137" s="3"/>
    </row>
    <row r="138" customFormat="1" spans="1:114">
      <c r="A138" s="1"/>
      <c r="B138" s="2"/>
      <c r="C138" s="2"/>
      <c r="D138" s="2"/>
      <c r="E138" s="2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4"/>
      <c r="S138" s="5"/>
      <c r="T138" s="5"/>
      <c r="U138" s="5"/>
      <c r="V138" s="5"/>
      <c r="W138" s="5"/>
      <c r="X138" s="5"/>
      <c r="Y138" s="6"/>
      <c r="Z138" s="6"/>
      <c r="AA138" s="3"/>
      <c r="AB138" s="7"/>
      <c r="AC138" s="3"/>
      <c r="AD138" s="3"/>
      <c r="AE138" s="3"/>
      <c r="AF138" s="3"/>
      <c r="AG138" s="3"/>
      <c r="AH138" s="3"/>
      <c r="AI138" s="3"/>
      <c r="AJ138" s="3"/>
      <c r="AK138" s="8"/>
      <c r="AL138" s="9"/>
      <c r="AM138" s="9"/>
      <c r="AN138" s="9"/>
      <c r="AO138" s="9"/>
      <c r="AP138" s="9"/>
      <c r="AQ138" s="9"/>
      <c r="AR138" s="9"/>
      <c r="AS138" s="9"/>
      <c r="AT138" s="10"/>
      <c r="AU138" s="11"/>
      <c r="AV138" s="11"/>
      <c r="AW138" s="11"/>
      <c r="AX138" s="11"/>
      <c r="AY138" s="11"/>
      <c r="AZ138" s="11"/>
      <c r="BA138" s="11"/>
      <c r="BB138" s="12"/>
      <c r="BC138" s="3"/>
      <c r="BD138" s="3"/>
      <c r="BE138" s="3"/>
      <c r="BF138" s="3"/>
      <c r="BG138" s="3"/>
      <c r="BH138" s="3"/>
      <c r="BI138" s="3"/>
      <c r="BJ138" s="3"/>
      <c r="BK138" s="3"/>
      <c r="BL138" s="7"/>
      <c r="BM138" s="3"/>
      <c r="BN138" s="3"/>
      <c r="BO138" s="3"/>
      <c r="BP138" s="3"/>
      <c r="BQ138" s="3"/>
      <c r="BR138" s="3"/>
      <c r="BS138" s="3"/>
      <c r="BT138" s="13"/>
      <c r="BU138" s="7"/>
      <c r="BV138" s="3"/>
      <c r="BW138" s="3"/>
      <c r="BX138" s="3"/>
      <c r="BY138" s="3"/>
      <c r="BZ138" s="3"/>
      <c r="CA138" s="3"/>
      <c r="CB138" s="3"/>
      <c r="CC138" s="3"/>
      <c r="CD138" s="7"/>
      <c r="CE138" s="3"/>
      <c r="CF138" s="3"/>
      <c r="CG138" s="3"/>
      <c r="CH138" s="3"/>
      <c r="CI138" s="3"/>
      <c r="CJ138" s="3"/>
      <c r="CK138" s="3"/>
      <c r="CL138" s="3"/>
      <c r="CM138" s="3"/>
      <c r="CN138" s="7"/>
      <c r="CO138" s="3"/>
      <c r="CP138" s="3"/>
      <c r="CQ138" s="3"/>
      <c r="CR138" s="3"/>
      <c r="CS138" s="3"/>
      <c r="CT138" s="3"/>
      <c r="CU138" s="3"/>
      <c r="CV138" s="3"/>
      <c r="CW138" s="7"/>
      <c r="CX138" s="3"/>
      <c r="CY138" s="3"/>
      <c r="CZ138" s="13"/>
      <c r="DA138" s="14"/>
      <c r="DB138" s="15"/>
      <c r="DC138" s="15"/>
      <c r="DD138" s="13"/>
      <c r="DE138"/>
      <c r="DF138"/>
      <c r="DG138"/>
      <c r="DH138"/>
      <c r="DI138"/>
      <c r="DJ138" s="3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DQ138" etc:filterBottomFollowUsedRange="0">
    <extLst/>
  </autoFilter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��penc�Ɖh�penc�Ɖh�
</file>

<file path=customXml/item2.xml>��
</file>

<file path=customXml/item3.xml><?xml version="1.0" encoding="utf-8"?>
<NetdiskSupbooks xmlns="http://www.wps.cn/et/2019/netdiskSupbooks">
  <NetdiskSupbook Target="\Users\Administrator\WPSDrive\1657638535\WPS企业云盘\常州市凌越信息技术服务有限公司\团队文档\eBay运营三部\新品\新品累计数据\新品检查记录.xlsx" FileId="488119903997" NetdiskName="yunwps"/>
  <NetdiskSupbook Target="\Users\Administrator\WPSDrive\1657638535\WPS企业云盘\常州市凌越信息技术服务有限公司\团队文档\eBay运营三部\新品\新品累计数据\新品广告数据.xlsx" FileId="512707468371" NetdiskName="yunwps"/>
</NetdiskSupbook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PLP明细</vt:lpstr>
      <vt:lpstr>四三数据累计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2026-01-22T13:00:00Z</dcterms:created>
  <dcterms:modified xsi:type="dcterms:W3CDTF">2026-05-13T07:40:12Z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0749C2F445E545C08EE4945239317162_13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